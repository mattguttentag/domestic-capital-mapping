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500" firstSheet="10" activeTab="6" autoFilterDateGrouping="1"/>
  </bookViews>
  <sheets>
    <sheet xmlns:r="http://schemas.openxmlformats.org/officeDocument/2006/relationships" name="Sovereign Wealth Funds" sheetId="1" state="visible" r:id="rId1"/>
    <sheet xmlns:r="http://schemas.openxmlformats.org/officeDocument/2006/relationships" name="Pension Funds" sheetId="2" state="visible" r:id="rId2"/>
    <sheet xmlns:r="http://schemas.openxmlformats.org/officeDocument/2006/relationships" name="Tier 1 Candidates" sheetId="3" state="visible" r:id="rId3"/>
    <sheet xmlns:r="http://schemas.openxmlformats.org/officeDocument/2006/relationships" name="Tier 1 Disclosure Sweep" sheetId="4" state="visible" r:id="rId4"/>
    <sheet xmlns:r="http://schemas.openxmlformats.org/officeDocument/2006/relationships" name="Commitments Database" sheetId="5" state="visible" r:id="rId5"/>
    <sheet xmlns:r="http://schemas.openxmlformats.org/officeDocument/2006/relationships" name="Pipeline &amp; Mandates" sheetId="6" state="visible" r:id="rId6"/>
    <sheet xmlns:r="http://schemas.openxmlformats.org/officeDocument/2006/relationships" name="Funds &amp; LP Co-Investors" sheetId="7" state="visible" r:id="rId7"/>
    <sheet xmlns:r="http://schemas.openxmlformats.org/officeDocument/2006/relationships" name="DFI Co-Investor Patterns" sheetId="8" state="visible" r:id="rId8"/>
    <sheet xmlns:r="http://schemas.openxmlformats.org/officeDocument/2006/relationships" name="Country Summary" sheetId="9" state="visible" r:id="rId9"/>
    <sheet xmlns:r="http://schemas.openxmlformats.org/officeDocument/2006/relationships" name="Methodology &amp; Caveats" sheetId="10" state="visible" r:id="rId10"/>
    <sheet xmlns:r="http://schemas.openxmlformats.org/officeDocument/2006/relationships" name="Inclusion Audit" sheetId="11" state="visible" r:id="rId11"/>
    <sheet xmlns:r="http://schemas.openxmlformats.org/officeDocument/2006/relationships" name="Omission Candidates" sheetId="12" state="visible" r:id="rId12"/>
    <sheet xmlns:r="http://schemas.openxmlformats.org/officeDocument/2006/relationships" name="Source Library" sheetId="13" state="visible" r:id="rId13"/>
    <sheet xmlns:r="http://schemas.openxmlformats.org/officeDocument/2006/relationships" name="Absentees Investigation" sheetId="14" state="visible" r:id="rId14"/>
    <sheet xmlns:r="http://schemas.openxmlformats.org/officeDocument/2006/relationships" name="Regulatory vs Behaviour" sheetId="15" state="visible" r:id="rId15"/>
    <sheet xmlns:r="http://schemas.openxmlformats.org/officeDocument/2006/relationships" name="AVCA Aggregate vs Disclosed" sheetId="16" state="visible" r:id="rId16"/>
  </sheets>
  <definedNames>
    <definedName name="_xlnm._FilterDatabase" localSheetId="0" hidden="1">'Sovereign Wealth Funds'!$A$1:$K$27</definedName>
    <definedName name="_xlnm._FilterDatabase" localSheetId="1" hidden="1">'Pension Funds'!$A$1:$K$230</definedName>
    <definedName name="_xlnm._FilterDatabase" localSheetId="2" hidden="1">'Tier 1 Candidates'!$A$3:$G$51</definedName>
    <definedName name="_xlnm._FilterDatabase" localSheetId="3" hidden="1">'Tier 1 Disclosure Sweep'!$A$1:$V$49</definedName>
    <definedName name="_xlnm._FilterDatabase" localSheetId="4" hidden="1">'Commitments Database'!$A$1:$O$98</definedName>
    <definedName name="_xlnm._FilterDatabase" localSheetId="5" hidden="1">'Pipeline &amp; Mandates'!$A$1:$P$13</definedName>
    <definedName name="_xlnm._FilterDatabase" localSheetId="6" hidden="1">'Funds &amp; LP Co-Investors'!$A$1:$L$46</definedName>
    <definedName name="_xlnm._FilterDatabase" localSheetId="7" hidden="1">'DFI Co-Investor Patterns'!$A$3:$E$27</definedName>
    <definedName name="_xlnm._FilterDatabase" localSheetId="10" hidden="1">'Inclusion Audit'!$A$1:$H$56</definedName>
    <definedName name="_xlnm._FilterDatabase" localSheetId="12" hidden="1">'Source Library'!$A$1:$F$178</definedName>
    <definedName name="_xlnm._FilterDatabase" localSheetId="13" hidden="1">'Absentees Investigation'!$A$3:$G$13</definedName>
    <definedName name="_xlnm._FilterDatabase" localSheetId="14" hidden="1">'Regulatory vs Behaviour'!$A$3:$H$22</definedName>
  </definedNames>
  <calcPr calcId="191029" fullCalcOnLoad="1"/>
</workbook>
</file>

<file path=xl/styles.xml><?xml version="1.0" encoding="utf-8"?>
<styleSheet xmlns="http://schemas.openxmlformats.org/spreadsheetml/2006/main">
  <numFmts count="2">
    <numFmt numFmtId="164" formatCode="#,##0;\(#,##0\);\-"/>
    <numFmt numFmtId="165" formatCode="0.0%"/>
  </numFmts>
  <fonts count="9">
    <font>
      <name val="Calibri"/>
      <charset val="1"/>
      <family val="2"/>
      <color theme="1"/>
      <sz val="11"/>
    </font>
    <font>
      <name val="Arial"/>
      <charset val="1"/>
      <b val="1"/>
      <color rgb="FFFFFFFF"/>
      <sz val="10"/>
    </font>
    <font>
      <name val="Arial"/>
      <charset val="1"/>
      <sz val="10"/>
    </font>
    <font>
      <name val="Arial"/>
      <charset val="1"/>
      <b val="1"/>
      <color rgb="FF1F4E78"/>
      <sz val="11"/>
    </font>
    <font>
      <name val="Arial"/>
      <charset val="1"/>
      <b val="1"/>
      <color rgb="FF1F4E78"/>
      <sz val="14"/>
    </font>
    <font>
      <name val="Arial"/>
      <charset val="1"/>
      <b val="1"/>
      <sz val="10"/>
    </font>
    <font>
      <name val="Arial"/>
      <charset val="1"/>
      <b val="1"/>
      <color rgb="FF1F4E78"/>
      <sz val="12"/>
    </font>
    <font>
      <name val="Calibri"/>
      <b val="1"/>
      <color rgb="FFFFFFFF"/>
      <sz val="11"/>
    </font>
    <font>
      <name val="Calibri"/>
      <b val="1"/>
      <sz val="11"/>
    </font>
  </fonts>
  <fills count="11">
    <fill>
      <patternFill/>
    </fill>
    <fill>
      <patternFill patternType="gray125"/>
    </fill>
    <fill>
      <patternFill patternType="solid">
        <fgColor rgb="FF1F4E78"/>
        <bgColor rgb="FF003366"/>
      </patternFill>
    </fill>
    <fill>
      <patternFill patternType="solid">
        <fgColor rgb="FFDDEBF7"/>
        <bgColor rgb="FFCCFFFF"/>
      </patternFill>
    </fill>
    <fill>
      <patternFill patternType="solid">
        <fgColor rgb="FF1F4E78"/>
      </patternFill>
    </fill>
    <fill>
      <patternFill patternType="solid">
        <fgColor rgb="FF7A4E00"/>
      </patternFill>
    </fill>
    <fill>
      <patternFill patternType="solid">
        <fgColor rgb="FF1A3A5C"/>
      </patternFill>
    </fill>
    <fill>
      <patternFill patternType="solid">
        <fgColor rgb="FF1F4E79"/>
      </patternFill>
    </fill>
    <fill>
      <patternFill patternType="solid">
        <fgColor rgb="FFFFE699"/>
      </patternFill>
    </fill>
    <fill>
      <patternFill patternType="solid">
        <fgColor rgb="FFF4B183"/>
      </patternFill>
    </fill>
    <fill>
      <patternFill patternType="solid">
        <fgColor rgb="FFD9EAD3"/>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bottom style="thin">
        <color rgb="FFD9E2F3"/>
      </bottom>
      <diagonal/>
    </border>
    <border>
      <left/>
      <right/>
      <top/>
      <bottom style="thin">
        <color rgb="FFEAD7B7"/>
      </bottom>
      <diagonal/>
    </border>
  </borders>
  <cellStyleXfs count="1">
    <xf numFmtId="0" fontId="0" fillId="0" borderId="0"/>
  </cellStyleXfs>
  <cellXfs count="30">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0" pivotButton="0" quotePrefix="0" xfId="0"/>
    <xf numFmtId="164" fontId="2" fillId="0" borderId="1" applyAlignment="1" pivotButton="0" quotePrefix="0" xfId="0">
      <alignment vertical="top" wrapText="1"/>
    </xf>
    <xf numFmtId="0" fontId="4" fillId="0" borderId="0" pivotButton="0" quotePrefix="0" xfId="0"/>
    <xf numFmtId="0" fontId="5" fillId="0" borderId="0" applyAlignment="1" pivotButton="0" quotePrefix="0" xfId="0">
      <alignment vertical="top"/>
    </xf>
    <xf numFmtId="0" fontId="2" fillId="0" borderId="0" applyAlignment="1" pivotButton="0" quotePrefix="0" xfId="0">
      <alignment vertical="top" wrapText="1"/>
    </xf>
    <xf numFmtId="0" fontId="6" fillId="0" borderId="0" pivotButton="0" quotePrefix="0" xfId="0"/>
    <xf numFmtId="3" fontId="2" fillId="0" borderId="1" applyAlignment="1" pivotButton="0" quotePrefix="0" xfId="0">
      <alignment vertical="top" wrapText="1"/>
    </xf>
    <xf numFmtId="165" fontId="2" fillId="0" borderId="1" applyAlignment="1" pivotButton="0" quotePrefix="0" xfId="0">
      <alignment vertical="top" wrapText="1"/>
    </xf>
    <xf numFmtId="0" fontId="5" fillId="3" borderId="1" applyAlignment="1" pivotButton="0" quotePrefix="0" xfId="0">
      <alignment vertical="top" wrapText="1"/>
    </xf>
    <xf numFmtId="0" fontId="2" fillId="0" borderId="2" applyAlignment="1" pivotButton="0" quotePrefix="0" xfId="0">
      <alignment vertical="top" wrapText="1"/>
    </xf>
    <xf numFmtId="0" fontId="8" fillId="0" borderId="0" pivotButton="0" quotePrefix="0" xfId="0"/>
    <xf numFmtId="0" fontId="0" fillId="0" borderId="0" applyAlignment="1" pivotButton="0" quotePrefix="0" xfId="0">
      <alignment vertical="top" wrapText="1"/>
    </xf>
    <xf numFmtId="0" fontId="7" fillId="4" borderId="0" applyAlignment="1" pivotButton="0" quotePrefix="0" xfId="0">
      <alignment vertical="center" wrapText="1"/>
    </xf>
    <xf numFmtId="0" fontId="0" fillId="0" borderId="3" applyAlignment="1" pivotButton="0" quotePrefix="0" xfId="0">
      <alignment vertical="top" wrapText="1"/>
    </xf>
    <xf numFmtId="0" fontId="7" fillId="4" borderId="1" applyAlignment="1" pivotButton="0" quotePrefix="0" xfId="0">
      <alignment vertical="center" wrapText="1"/>
    </xf>
    <xf numFmtId="0" fontId="7" fillId="5" borderId="0" applyAlignment="1" pivotButton="0" quotePrefix="0" xfId="0">
      <alignment vertical="center" wrapText="1"/>
    </xf>
    <xf numFmtId="0" fontId="0" fillId="0" borderId="4" applyAlignment="1" pivotButton="0" quotePrefix="0" xfId="0">
      <alignment vertical="top" wrapText="1"/>
    </xf>
    <xf numFmtId="0" fontId="7" fillId="6" borderId="0" applyAlignment="1" pivotButton="0" quotePrefix="0" xfId="0">
      <alignment vertical="top" wrapText="1"/>
    </xf>
    <xf numFmtId="0" fontId="7" fillId="7" borderId="0" applyAlignment="1" pivotButton="0" quotePrefix="0" xfId="0">
      <alignment vertical="center"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3" fillId="0" borderId="0" applyAlignment="1" pivotButton="0" quotePrefix="0" xfId="0">
      <alignment vertical="top" wrapText="1"/>
    </xf>
    <xf numFmtId="0" fontId="0" fillId="0" borderId="0" pivotButton="0" quotePrefix="0" xfId="0"/>
    <xf numFmtId="0" fontId="3" fillId="0" borderId="0" pivotButton="0" quotePrefix="0" xfId="0"/>
    <xf numFmtId="0" fontId="2"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cellStyles>
  <dxfs count="9">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27"/>
  <sheetViews>
    <sheetView zoomScaleNormal="100" workbookViewId="0">
      <pane ySplit="1" topLeftCell="A2" activePane="bottomLeft" state="frozen"/>
      <selection pane="bottomLeft" activeCell="A1" sqref="A1"/>
    </sheetView>
  </sheetViews>
  <sheetFormatPr baseColWidth="8" defaultColWidth="8.7109375" defaultRowHeight="15"/>
  <cols>
    <col width="18" customWidth="1" style="26" min="1" max="1"/>
    <col width="38" customWidth="1" style="26" min="2" max="2"/>
    <col width="22" customWidth="1" style="26" min="3" max="3"/>
    <col width="12" customWidth="1" style="26" min="4" max="4"/>
    <col width="16" customWidth="1" style="26" min="5" max="5"/>
    <col width="12" customWidth="1" style="26" min="6" max="6"/>
    <col width="14" customWidth="1" style="26" min="7" max="7"/>
    <col width="24" customWidth="1" style="26" min="8" max="8"/>
    <col width="22" customWidth="1" style="26" min="9" max="9"/>
    <col width="12" customWidth="1" style="26" min="10" max="10"/>
    <col width="60" customWidth="1" style="26" min="11" max="11"/>
  </cols>
  <sheetData>
    <row r="1" ht="23.25" customHeight="1" s="26">
      <c r="A1" s="1" t="inlineStr">
        <is>
          <t>Country</t>
        </is>
      </c>
      <c r="B1" s="1" t="inlineStr">
        <is>
          <t>Institution</t>
        </is>
      </c>
      <c r="C1" s="1" t="inlineStr">
        <is>
          <t>Mandate type</t>
        </is>
      </c>
      <c r="D1" s="1" t="inlineStr">
        <is>
          <t>Established</t>
        </is>
      </c>
      <c r="E1" s="1" t="inlineStr">
        <is>
          <t>AUM (USD m, approx)</t>
        </is>
      </c>
      <c r="F1" s="1" t="inlineStr">
        <is>
          <t>As-of year</t>
        </is>
      </c>
      <c r="G1" s="1" t="inlineStr">
        <is>
          <t>Currency basis (local)</t>
        </is>
      </c>
      <c r="H1" s="1" t="inlineStr">
        <is>
          <t>Owner / Regulator</t>
        </is>
      </c>
      <c r="I1" s="1" t="inlineStr">
        <is>
          <t>Public reporting</t>
        </is>
      </c>
      <c r="J1" s="1" t="inlineStr">
        <is>
          <t>Confidence</t>
        </is>
      </c>
      <c r="K1" s="1" t="inlineStr">
        <is>
          <t>Notes</t>
        </is>
      </c>
    </row>
    <row r="2" ht="23.25" customHeight="1" s="26">
      <c r="A2" s="2" t="inlineStr">
        <is>
          <t>Algeria</t>
        </is>
      </c>
      <c r="B2" s="2" t="inlineStr">
        <is>
          <t>Fonds de Régulation des Recettes (FRR)</t>
        </is>
      </c>
      <c r="C2" s="2" t="inlineStr">
        <is>
          <t>Stabilisation</t>
        </is>
      </c>
      <c r="D2" s="2" t="n">
        <v>2000</v>
      </c>
      <c r="E2" s="2" t="n"/>
      <c r="F2" s="2" t="inlineStr">
        <is>
          <t>n/a</t>
        </is>
      </c>
      <c r="G2" s="2" t="inlineStr">
        <is>
          <t>DZD</t>
        </is>
      </c>
      <c r="H2" s="2" t="inlineStr">
        <is>
          <t>Ministry of Finance</t>
        </is>
      </c>
      <c r="I2" s="2" t="inlineStr">
        <is>
          <t>Limited</t>
        </is>
      </c>
      <c r="J2" s="2" t="inlineStr">
        <is>
          <t>L</t>
        </is>
      </c>
      <c r="K2" s="2" t="inlineStr">
        <is>
          <t>Oil revenue stabilisation fund; depleted during 2014–17 oil price crash; balance not regularly disclosed.</t>
        </is>
      </c>
    </row>
    <row r="3" ht="23.25" customHeight="1" s="26">
      <c r="A3" s="2" t="inlineStr">
        <is>
          <t>Angola</t>
        </is>
      </c>
      <c r="B3" s="2" t="inlineStr">
        <is>
          <t>Fundo Soberano de Angola (FSDEA)</t>
        </is>
      </c>
      <c r="C3" s="2" t="inlineStr">
        <is>
          <t>Savings / Strategic</t>
        </is>
      </c>
      <c r="D3" s="2" t="n">
        <v>2012</v>
      </c>
      <c r="E3" s="2" t="n">
        <v>3400</v>
      </c>
      <c r="F3" s="2" t="n">
        <v>2023</v>
      </c>
      <c r="G3" s="2" t="inlineStr">
        <is>
          <t>USD</t>
        </is>
      </c>
      <c r="H3" s="2" t="inlineStr">
        <is>
          <t>Ministry of Finance</t>
        </is>
      </c>
      <c r="I3" s="2" t="inlineStr">
        <is>
          <t>Yes (annual report)</t>
        </is>
      </c>
      <c r="J3" s="2" t="inlineStr">
        <is>
          <t>H</t>
        </is>
      </c>
      <c r="K3" s="2" t="inlineStr">
        <is>
          <t>Has disclosed PE/infra allocations including African private equity exposure.</t>
        </is>
      </c>
    </row>
    <row r="4" ht="23.25" customHeight="1" s="26">
      <c r="A4" s="2" t="inlineStr">
        <is>
          <t>Botswana</t>
        </is>
      </c>
      <c r="B4" s="2" t="inlineStr">
        <is>
          <t>Pula Fund</t>
        </is>
      </c>
      <c r="C4" s="2" t="inlineStr">
        <is>
          <t>Savings</t>
        </is>
      </c>
      <c r="D4" s="2" t="n">
        <v>1994</v>
      </c>
      <c r="E4" s="2" t="n">
        <v>5000</v>
      </c>
      <c r="F4" s="2" t="n">
        <v>2024</v>
      </c>
      <c r="G4" s="2" t="inlineStr">
        <is>
          <t>USD/BWP</t>
        </is>
      </c>
      <c r="H4" s="2" t="inlineStr">
        <is>
          <t>Bank of Botswana</t>
        </is>
      </c>
      <c r="I4" s="2" t="inlineStr">
        <is>
          <t>Yes (BoB annual report)</t>
        </is>
      </c>
      <c r="J4" s="2" t="inlineStr">
        <is>
          <t>H</t>
        </is>
      </c>
      <c r="K4" s="2" t="inlineStr">
        <is>
          <t>Managed within Bank of Botswana FX reserves; primarily global fixed income &amp; equities, limited alts.</t>
        </is>
      </c>
    </row>
    <row r="5" ht="15" customHeight="1" s="26">
      <c r="A5" s="2" t="inlineStr">
        <is>
          <t>Djibouti</t>
        </is>
      </c>
      <c r="B5" s="2" t="inlineStr">
        <is>
          <t>Fonds Souverain de Djibouti (FSD)</t>
        </is>
      </c>
      <c r="C5" s="2" t="inlineStr">
        <is>
          <t>Strategic / Development</t>
        </is>
      </c>
      <c r="D5" s="2" t="n">
        <v>2020</v>
      </c>
      <c r="E5" s="2" t="n">
        <v>1500</v>
      </c>
      <c r="F5" s="2" t="n">
        <v>2024</v>
      </c>
      <c r="G5" s="2" t="inlineStr">
        <is>
          <t>USD</t>
        </is>
      </c>
      <c r="H5" s="2" t="inlineStr">
        <is>
          <t>Government of Djibouti</t>
        </is>
      </c>
      <c r="I5" s="2" t="inlineStr">
        <is>
          <t>Limited</t>
        </is>
      </c>
      <c r="J5" s="2" t="inlineStr">
        <is>
          <t>M</t>
        </is>
      </c>
      <c r="K5" s="2" t="inlineStr">
        <is>
          <t>Newer SWF; mandate includes domestic strategic investments.</t>
        </is>
      </c>
    </row>
    <row r="6" ht="23.25" customHeight="1" s="26">
      <c r="A6" s="2" t="inlineStr">
        <is>
          <t>Egypt</t>
        </is>
      </c>
      <c r="B6" s="2" t="inlineStr">
        <is>
          <t>The Sovereign Fund of Egypt (TSFE)</t>
        </is>
      </c>
      <c r="C6" s="2" t="inlineStr">
        <is>
          <t>Strategic / Development</t>
        </is>
      </c>
      <c r="D6" s="2" t="n">
        <v>2018</v>
      </c>
      <c r="E6" s="2" t="n">
        <v>2500</v>
      </c>
      <c r="F6" s="2" t="n">
        <v>2024</v>
      </c>
      <c r="G6" s="2" t="inlineStr">
        <is>
          <t>USD</t>
        </is>
      </c>
      <c r="H6" s="2" t="inlineStr">
        <is>
          <t>Government of Egypt</t>
        </is>
      </c>
      <c r="I6" s="2" t="inlineStr">
        <is>
          <t>Yes (annual report)</t>
        </is>
      </c>
      <c r="J6" s="2" t="inlineStr">
        <is>
          <t>H</t>
        </is>
      </c>
      <c r="K6" s="2" t="inlineStr">
        <is>
          <t>Active in SOE divestiture and co-investments; signed partnerships with ADQ, PIF, BlackRock.</t>
        </is>
      </c>
    </row>
    <row r="7" ht="15" customHeight="1" s="26">
      <c r="A7" s="2" t="inlineStr">
        <is>
          <t>Equatorial Guinea</t>
        </is>
      </c>
      <c r="B7" s="2" t="inlineStr">
        <is>
          <t>Fund for Future Generations (FFG)</t>
        </is>
      </c>
      <c r="C7" s="2" t="inlineStr">
        <is>
          <t>Savings</t>
        </is>
      </c>
      <c r="D7" s="2" t="n">
        <v>2002</v>
      </c>
      <c r="E7" s="2" t="n">
        <v>80</v>
      </c>
      <c r="F7" s="2" t="inlineStr">
        <is>
          <t>approx</t>
        </is>
      </c>
      <c r="G7" s="2" t="inlineStr">
        <is>
          <t>USD/XAF</t>
        </is>
      </c>
      <c r="H7" s="2" t="inlineStr">
        <is>
          <t>Ministry of Finance</t>
        </is>
      </c>
      <c r="I7" s="2" t="inlineStr">
        <is>
          <t>Very limited</t>
        </is>
      </c>
      <c r="J7" s="2" t="inlineStr">
        <is>
          <t>L</t>
        </is>
      </c>
      <c r="K7" s="2" t="inlineStr">
        <is>
          <t>Small, opaque oil-revenue savings vehicle.</t>
        </is>
      </c>
    </row>
    <row r="8" ht="23.25" customHeight="1" s="26">
      <c r="A8" s="2" t="inlineStr">
        <is>
          <t>Ethiopia</t>
        </is>
      </c>
      <c r="B8" s="2" t="inlineStr">
        <is>
          <t>Ethiopian Investment Holdings (EIH)</t>
        </is>
      </c>
      <c r="C8" s="2" t="inlineStr">
        <is>
          <t>Strategic (SOE holding)</t>
        </is>
      </c>
      <c r="D8" s="2" t="n">
        <v>2022</v>
      </c>
      <c r="E8" s="2" t="n">
        <v>38000</v>
      </c>
      <c r="F8" s="2" t="n">
        <v>2024</v>
      </c>
      <c r="G8" s="2" t="inlineStr">
        <is>
          <t>ETB</t>
        </is>
      </c>
      <c r="H8" s="2" t="inlineStr">
        <is>
          <t>Office of the Prime Minister</t>
        </is>
      </c>
      <c r="I8" s="2" t="inlineStr">
        <is>
          <t>Limited</t>
        </is>
      </c>
      <c r="J8" s="2" t="inlineStr">
        <is>
          <t>M</t>
        </is>
      </c>
      <c r="K8" s="2" t="inlineStr">
        <is>
          <t>Holds equity in major SOEs (Ethio Telecom, EthAir, CBE); AUM is book value of SOE stakes, not liquid investable capital.</t>
        </is>
      </c>
    </row>
    <row r="9" ht="23.25" customHeight="1" s="26">
      <c r="A9" s="2" t="inlineStr">
        <is>
          <t>Gabon</t>
        </is>
      </c>
      <c r="B9" s="2" t="inlineStr">
        <is>
          <t>Fonds Gabonais d'Investissements Stratégiques (FGIS)</t>
        </is>
      </c>
      <c r="C9" s="2" t="inlineStr">
        <is>
          <t>Strategic / Savings</t>
        </is>
      </c>
      <c r="D9" s="2" t="n">
        <v>2012</v>
      </c>
      <c r="E9" s="2" t="n">
        <v>1500</v>
      </c>
      <c r="F9" s="2" t="n">
        <v>2023</v>
      </c>
      <c r="G9" s="2" t="inlineStr">
        <is>
          <t>USD/XAF</t>
        </is>
      </c>
      <c r="H9" s="2" t="inlineStr">
        <is>
          <t>Government of Gabon</t>
        </is>
      </c>
      <c r="I9" s="2" t="inlineStr">
        <is>
          <t>Limited</t>
        </is>
      </c>
      <c r="J9" s="2" t="inlineStr">
        <is>
          <t>M</t>
        </is>
      </c>
      <c r="K9" s="2" t="inlineStr">
        <is>
          <t>Has stakes in Gabonese financial sector and Africa-focused infrastructure platforms.</t>
        </is>
      </c>
    </row>
    <row r="10" ht="23.25" customHeight="1" s="26">
      <c r="A10" s="2" t="inlineStr">
        <is>
          <t>Ghana</t>
        </is>
      </c>
      <c r="B10" s="2" t="inlineStr">
        <is>
          <t>Ghana Stabilisation Fund (GSF)</t>
        </is>
      </c>
      <c r="C10" s="2" t="inlineStr">
        <is>
          <t>Stabilisation</t>
        </is>
      </c>
      <c r="D10" s="2" t="n">
        <v>2011</v>
      </c>
      <c r="E10" s="2" t="n">
        <v>750</v>
      </c>
      <c r="F10" s="2" t="n">
        <v>2024</v>
      </c>
      <c r="G10" s="2" t="inlineStr">
        <is>
          <t>USD</t>
        </is>
      </c>
      <c r="H10" s="2" t="inlineStr">
        <is>
          <t>Ministry of Finance / BoG</t>
        </is>
      </c>
      <c r="I10" s="2" t="inlineStr">
        <is>
          <t>Yes (Petroleum Funds Report)</t>
        </is>
      </c>
      <c r="J10" s="2" t="inlineStr">
        <is>
          <t>H</t>
        </is>
      </c>
      <c r="K10" s="2" t="inlineStr">
        <is>
          <t>By law invested in high-grade fixed income; not in scope for alts.</t>
        </is>
      </c>
    </row>
    <row r="11" ht="23.25" customHeight="1" s="26">
      <c r="A11" s="2" t="inlineStr">
        <is>
          <t>Ghana</t>
        </is>
      </c>
      <c r="B11" s="2" t="inlineStr">
        <is>
          <t>Ghana Heritage Fund (GHF)</t>
        </is>
      </c>
      <c r="C11" s="2" t="inlineStr">
        <is>
          <t>Savings (intergenerational)</t>
        </is>
      </c>
      <c r="D11" s="2" t="n">
        <v>2011</v>
      </c>
      <c r="E11" s="2" t="n">
        <v>1100</v>
      </c>
      <c r="F11" s="2" t="n">
        <v>2024</v>
      </c>
      <c r="G11" s="2" t="inlineStr">
        <is>
          <t>USD</t>
        </is>
      </c>
      <c r="H11" s="2" t="inlineStr">
        <is>
          <t>Ministry of Finance / BoG</t>
        </is>
      </c>
      <c r="I11" s="2" t="inlineStr">
        <is>
          <t>Yes (Petroleum Funds Report)</t>
        </is>
      </c>
      <c r="J11" s="2" t="inlineStr">
        <is>
          <t>H</t>
        </is>
      </c>
      <c r="K11" s="2" t="inlineStr">
        <is>
          <t>By law invested in qualifying instruments; alts effectively prohibited.</t>
        </is>
      </c>
    </row>
    <row r="12" ht="15" customHeight="1" s="26">
      <c r="A12" s="2" t="inlineStr">
        <is>
          <t>Ghana</t>
        </is>
      </c>
      <c r="B12" s="2" t="inlineStr">
        <is>
          <t>Ghana Infrastructure Investment Fund (GIIF)</t>
        </is>
      </c>
      <c r="C12" s="2" t="inlineStr">
        <is>
          <t>Strategic / Infrastructure</t>
        </is>
      </c>
      <c r="D12" s="2" t="n">
        <v>2014</v>
      </c>
      <c r="E12" s="2" t="n">
        <v>400</v>
      </c>
      <c r="F12" s="2" t="n">
        <v>2023</v>
      </c>
      <c r="G12" s="2" t="inlineStr">
        <is>
          <t>USD</t>
        </is>
      </c>
      <c r="H12" s="2" t="inlineStr">
        <is>
          <t>Government of Ghana</t>
        </is>
      </c>
      <c r="I12" s="2" t="inlineStr">
        <is>
          <t>Limited</t>
        </is>
      </c>
      <c r="J12" s="2" t="inlineStr">
        <is>
          <t>M</t>
        </is>
      </c>
      <c r="K12" s="2" t="inlineStr">
        <is>
          <t>Mandate is infrastructure investment in Ghana; in scope for direct deals.</t>
        </is>
      </c>
    </row>
    <row r="13" ht="23.25" customHeight="1" s="26">
      <c r="A13" s="2" t="inlineStr">
        <is>
          <t>Libya</t>
        </is>
      </c>
      <c r="B13" s="2" t="inlineStr">
        <is>
          <t>Libyan Investment Authority (LIA)</t>
        </is>
      </c>
      <c r="C13" s="2" t="inlineStr">
        <is>
          <t>Savings / Strategic</t>
        </is>
      </c>
      <c r="D13" s="2" t="n">
        <v>2006</v>
      </c>
      <c r="E13" s="2" t="n">
        <v>67000</v>
      </c>
      <c r="F13" s="2" t="n">
        <v>2023</v>
      </c>
      <c r="G13" s="2" t="inlineStr">
        <is>
          <t>USD</t>
        </is>
      </c>
      <c r="H13" s="2" t="inlineStr">
        <is>
          <t>Government of Libya</t>
        </is>
      </c>
      <c r="I13" s="2" t="inlineStr">
        <is>
          <t>Limited (assets largely frozen)</t>
        </is>
      </c>
      <c r="J13" s="2" t="inlineStr">
        <is>
          <t>M</t>
        </is>
      </c>
      <c r="K13" s="2" t="inlineStr">
        <is>
          <t>Bulk of assets frozen under UN sanctions since 2011; governance contested.</t>
        </is>
      </c>
    </row>
    <row r="14" ht="23.25" customHeight="1" s="26">
      <c r="A14" s="2" t="inlineStr">
        <is>
          <t>Mauritania</t>
        </is>
      </c>
      <c r="B14" s="2" t="inlineStr">
        <is>
          <t>Fonds National des Revenus des Hydrocarbures (FNRH)</t>
        </is>
      </c>
      <c r="C14" s="2" t="inlineStr">
        <is>
          <t>Stabilisation / Savings</t>
        </is>
      </c>
      <c r="D14" s="2" t="n">
        <v>2006</v>
      </c>
      <c r="E14" s="2" t="n">
        <v>200</v>
      </c>
      <c r="F14" s="2" t="inlineStr">
        <is>
          <t>approx</t>
        </is>
      </c>
      <c r="G14" s="2" t="inlineStr">
        <is>
          <t>USD/MRU</t>
        </is>
      </c>
      <c r="H14" s="2" t="inlineStr">
        <is>
          <t>BCM / Ministry of Finance</t>
        </is>
      </c>
      <c r="I14" s="2" t="inlineStr">
        <is>
          <t>Limited</t>
        </is>
      </c>
      <c r="J14" s="2" t="inlineStr">
        <is>
          <t>L</t>
        </is>
      </c>
      <c r="K14" s="2" t="inlineStr">
        <is>
          <t>Small hydrocarbons revenue fund.</t>
        </is>
      </c>
    </row>
    <row r="15" ht="23.25" customHeight="1" s="26">
      <c r="A15" s="2" t="inlineStr">
        <is>
          <t>Morocco</t>
        </is>
      </c>
      <c r="B15" s="2" t="inlineStr">
        <is>
          <t>Ithmar Capital</t>
        </is>
      </c>
      <c r="C15" s="2" t="inlineStr">
        <is>
          <t>Strategic / Development</t>
        </is>
      </c>
      <c r="D15" s="2" t="n">
        <v>2011</v>
      </c>
      <c r="E15" s="2" t="n">
        <v>1000</v>
      </c>
      <c r="F15" s="2" t="n">
        <v>2023</v>
      </c>
      <c r="G15" s="2" t="inlineStr">
        <is>
          <t>USD</t>
        </is>
      </c>
      <c r="H15" s="2" t="inlineStr">
        <is>
          <t>Government of Morocco</t>
        </is>
      </c>
      <c r="I15" s="2" t="inlineStr">
        <is>
          <t>Yes</t>
        </is>
      </c>
      <c r="J15" s="2" t="inlineStr">
        <is>
          <t>H</t>
        </is>
      </c>
      <c r="K15" s="2" t="inlineStr">
        <is>
          <t>Tourism, hospitality, renewable infra mandate; co-investor with Green Africa Investment, AfDB.</t>
        </is>
      </c>
    </row>
    <row r="16" ht="23.25" customHeight="1" s="26">
      <c r="A16" s="2" t="inlineStr">
        <is>
          <t>Morocco</t>
        </is>
      </c>
      <c r="B16" s="2" t="inlineStr">
        <is>
          <t>Mohammed VI Fund for Investment</t>
        </is>
      </c>
      <c r="C16" s="2" t="inlineStr">
        <is>
          <t>Strategic</t>
        </is>
      </c>
      <c r="D16" s="2" t="n">
        <v>2020</v>
      </c>
      <c r="E16" s="2" t="n">
        <v>4500</v>
      </c>
      <c r="F16" s="2" t="n">
        <v>2024</v>
      </c>
      <c r="G16" s="2" t="inlineStr">
        <is>
          <t>USD/MAD</t>
        </is>
      </c>
      <c r="H16" s="2" t="inlineStr">
        <is>
          <t>Government of Morocco</t>
        </is>
      </c>
      <c r="I16" s="2" t="inlineStr">
        <is>
          <t>Limited</t>
        </is>
      </c>
      <c r="J16" s="2" t="inlineStr">
        <is>
          <t>M</t>
        </is>
      </c>
      <c r="K16" s="2" t="inlineStr">
        <is>
          <t>Capitalised at MAD 45bn (≈USD 4.5bn); mandates include backing of sectoral funds.</t>
        </is>
      </c>
    </row>
    <row r="17" ht="15" customHeight="1" s="26">
      <c r="A17" s="2" t="inlineStr">
        <is>
          <t>Namibia</t>
        </is>
      </c>
      <c r="B17" s="2" t="inlineStr">
        <is>
          <t>Welwitschia Sovereign Wealth Fund</t>
        </is>
      </c>
      <c r="C17" s="2" t="inlineStr">
        <is>
          <t>Savings</t>
        </is>
      </c>
      <c r="D17" s="2" t="n">
        <v>2022</v>
      </c>
      <c r="E17" s="2" t="n">
        <v>60</v>
      </c>
      <c r="F17" s="2" t="n">
        <v>2024</v>
      </c>
      <c r="G17" s="2" t="inlineStr">
        <is>
          <t>USD</t>
        </is>
      </c>
      <c r="H17" s="2" t="inlineStr">
        <is>
          <t>Bank of Namibia</t>
        </is>
      </c>
      <c r="I17" s="2" t="inlineStr">
        <is>
          <t>Limited</t>
        </is>
      </c>
      <c r="J17" s="2" t="inlineStr">
        <is>
          <t>L</t>
        </is>
      </c>
      <c r="K17" s="2" t="inlineStr">
        <is>
          <t>Newly established; very small.</t>
        </is>
      </c>
    </row>
    <row r="18" ht="34.5" customHeight="1" s="26">
      <c r="A18" s="2" t="inlineStr">
        <is>
          <t>Nigeria</t>
        </is>
      </c>
      <c r="B18" s="2" t="inlineStr">
        <is>
          <t>Nigeria Sovereign Investment Authority (NSIA)</t>
        </is>
      </c>
      <c r="C18" s="2" t="inlineStr">
        <is>
          <t>Savings + Stabilisation + Infrastructure (3 sub-funds)</t>
        </is>
      </c>
      <c r="D18" s="2" t="n">
        <v>2011</v>
      </c>
      <c r="E18" s="2" t="n">
        <v>2900</v>
      </c>
      <c r="F18" s="2" t="n">
        <v>2023</v>
      </c>
      <c r="G18" s="2" t="inlineStr">
        <is>
          <t>USD</t>
        </is>
      </c>
      <c r="H18" s="2" t="inlineStr">
        <is>
          <t>Federal Ministry of Finance</t>
        </is>
      </c>
      <c r="I18" s="2" t="inlineStr">
        <is>
          <t>Yes (annual report)</t>
        </is>
      </c>
      <c r="J18" s="2" t="inlineStr">
        <is>
          <t>H</t>
        </is>
      </c>
      <c r="K18" s="2" t="inlineStr">
        <is>
          <t>Most operationally relevant of the three sub-funds is the Nigeria Infrastructure Fund (NIF) — active co-investor.</t>
        </is>
      </c>
    </row>
    <row r="19" ht="15" customHeight="1" s="26">
      <c r="A19" s="2" t="inlineStr">
        <is>
          <t>Rwanda</t>
        </is>
      </c>
      <c r="B19" s="2" t="inlineStr">
        <is>
          <t>Agaciro Development Fund (AgDF)</t>
        </is>
      </c>
      <c r="C19" s="2" t="inlineStr">
        <is>
          <t>Savings / Strategic</t>
        </is>
      </c>
      <c r="D19" s="2" t="n">
        <v>2012</v>
      </c>
      <c r="E19" s="2" t="n">
        <v>220</v>
      </c>
      <c r="F19" s="2" t="n">
        <v>2023</v>
      </c>
      <c r="G19" s="2" t="inlineStr">
        <is>
          <t>USD/RWF</t>
        </is>
      </c>
      <c r="H19" s="2" t="inlineStr">
        <is>
          <t>Government of Rwanda</t>
        </is>
      </c>
      <c r="I19" s="2" t="inlineStr">
        <is>
          <t>Limited</t>
        </is>
      </c>
      <c r="J19" s="2" t="inlineStr">
        <is>
          <t>M</t>
        </is>
      </c>
      <c r="K19" s="2" t="inlineStr">
        <is>
          <t>Smaller fund but has made domestic strategic investments.</t>
        </is>
      </c>
    </row>
    <row r="20" ht="23.25" customHeight="1" s="26">
      <c r="A20" s="2" t="inlineStr">
        <is>
          <t>São Tomé and Príncipe</t>
        </is>
      </c>
      <c r="B20" s="2" t="inlineStr">
        <is>
          <t>National Oil Account</t>
        </is>
      </c>
      <c r="C20" s="2" t="inlineStr">
        <is>
          <t>Stabilisation / Savings</t>
        </is>
      </c>
      <c r="D20" s="2" t="n">
        <v>2004</v>
      </c>
      <c r="E20" s="2" t="n">
        <v>20</v>
      </c>
      <c r="F20" s="2" t="inlineStr">
        <is>
          <t>approx</t>
        </is>
      </c>
      <c r="G20" s="2" t="inlineStr">
        <is>
          <t>USD</t>
        </is>
      </c>
      <c r="H20" s="2" t="inlineStr">
        <is>
          <t>Central Bank of STP</t>
        </is>
      </c>
      <c r="I20" s="2" t="inlineStr">
        <is>
          <t>Limited</t>
        </is>
      </c>
      <c r="J20" s="2" t="inlineStr">
        <is>
          <t>L</t>
        </is>
      </c>
      <c r="K20" s="2" t="inlineStr">
        <is>
          <t>Small; oil revenues.</t>
        </is>
      </c>
    </row>
    <row r="21" ht="23.25" customHeight="1" s="26">
      <c r="A21" s="2" t="inlineStr">
        <is>
          <t>Senegal</t>
        </is>
      </c>
      <c r="B21" s="2" t="inlineStr">
        <is>
          <t>Fonds Souverain d'Investissements Stratégiques (FONSIS)</t>
        </is>
      </c>
      <c r="C21" s="2" t="inlineStr">
        <is>
          <t>Strategic / Development</t>
        </is>
      </c>
      <c r="D21" s="2" t="n">
        <v>2012</v>
      </c>
      <c r="E21" s="2" t="n">
        <v>1000</v>
      </c>
      <c r="F21" s="2" t="n">
        <v>2023</v>
      </c>
      <c r="G21" s="2" t="inlineStr">
        <is>
          <t>USD/XOF</t>
        </is>
      </c>
      <c r="H21" s="2" t="inlineStr">
        <is>
          <t>Government of Senegal</t>
        </is>
      </c>
      <c r="I21" s="2" t="inlineStr">
        <is>
          <t>Yes (annual report)</t>
        </is>
      </c>
      <c r="J21" s="2" t="inlineStr">
        <is>
          <t>H</t>
        </is>
      </c>
      <c r="K21" s="2" t="inlineStr">
        <is>
          <t>Active strategic investor; portfolio includes hotels, agribusiness, infra; co-invests with DFIs.</t>
        </is>
      </c>
    </row>
    <row r="22" ht="15" customHeight="1" s="26">
      <c r="A22" s="2" t="inlineStr">
        <is>
          <t>Zimbabwe</t>
        </is>
      </c>
      <c r="B22" s="2" t="inlineStr">
        <is>
          <t>Sovereign Wealth Fund of Zimbabwe (SWFZ)</t>
        </is>
      </c>
      <c r="C22" s="2" t="inlineStr">
        <is>
          <t>Savings / Strategic</t>
        </is>
      </c>
      <c r="D22" s="2" t="n">
        <v>2014</v>
      </c>
      <c r="E22" s="2" t="n">
        <v>0</v>
      </c>
      <c r="F22" s="2" t="inlineStr">
        <is>
          <t>n/a</t>
        </is>
      </c>
      <c r="G22" s="2" t="inlineStr">
        <is>
          <t>USD</t>
        </is>
      </c>
      <c r="H22" s="2" t="inlineStr">
        <is>
          <t>Government of Zimbabwe</t>
        </is>
      </c>
      <c r="I22" s="2" t="inlineStr">
        <is>
          <t>Limited</t>
        </is>
      </c>
      <c r="J22" s="2" t="inlineStr">
        <is>
          <t>L</t>
        </is>
      </c>
      <c r="K22" s="2" t="inlineStr">
        <is>
          <t>Established by law but minimally capitalised; effectively dormant.</t>
        </is>
      </c>
    </row>
    <row r="23" ht="23.25" customHeight="1" s="26">
      <c r="A23" s="2" t="inlineStr">
        <is>
          <t>Kenya</t>
        </is>
      </c>
      <c r="B23" s="2" t="inlineStr">
        <is>
          <t>Kenya Sovereign Wealth Fund (proposed)</t>
        </is>
      </c>
      <c r="C23" s="2" t="inlineStr">
        <is>
          <t>Planned</t>
        </is>
      </c>
      <c r="D23" s="2" t="inlineStr">
        <is>
          <t>TBD</t>
        </is>
      </c>
      <c r="E23" s="2" t="n">
        <v>0</v>
      </c>
      <c r="F23" s="2" t="inlineStr">
        <is>
          <t>n/a</t>
        </is>
      </c>
      <c r="G23" s="2" t="inlineStr">
        <is>
          <t>n/a</t>
        </is>
      </c>
      <c r="H23" s="2" t="inlineStr">
        <is>
          <t>Treasury / CBK</t>
        </is>
      </c>
      <c r="I23" s="2" t="inlineStr">
        <is>
          <t>n/a</t>
        </is>
      </c>
      <c r="J23" s="2" t="inlineStr">
        <is>
          <t>L</t>
        </is>
      </c>
      <c r="K23" s="2" t="inlineStr">
        <is>
          <t>Discussed for over a decade; no operating fund. Exclude from active universe.</t>
        </is>
      </c>
    </row>
    <row r="24" ht="15" customHeight="1" s="26">
      <c r="A24" s="2" t="inlineStr">
        <is>
          <t>Tanzania</t>
        </is>
      </c>
      <c r="B24" s="2" t="inlineStr">
        <is>
          <t>Tanzania SWF (proposed for gas revenues)</t>
        </is>
      </c>
      <c r="C24" s="2" t="inlineStr">
        <is>
          <t>Planned</t>
        </is>
      </c>
      <c r="D24" s="2" t="inlineStr">
        <is>
          <t>TBD</t>
        </is>
      </c>
      <c r="E24" s="2" t="n">
        <v>0</v>
      </c>
      <c r="F24" s="2" t="inlineStr">
        <is>
          <t>n/a</t>
        </is>
      </c>
      <c r="G24" s="2" t="inlineStr">
        <is>
          <t>n/a</t>
        </is>
      </c>
      <c r="H24" s="2" t="inlineStr">
        <is>
          <t>Ministry of Finance</t>
        </is>
      </c>
      <c r="I24" s="2" t="inlineStr">
        <is>
          <t>n/a</t>
        </is>
      </c>
      <c r="J24" s="2" t="inlineStr">
        <is>
          <t>L</t>
        </is>
      </c>
      <c r="K24" s="2" t="inlineStr">
        <is>
          <t>Not yet operational.</t>
        </is>
      </c>
    </row>
    <row r="25" ht="23.25" customHeight="1" s="26">
      <c r="A25" s="2" t="inlineStr">
        <is>
          <t>Uganda</t>
        </is>
      </c>
      <c r="B25" s="2" t="inlineStr">
        <is>
          <t>Petroleum Revenue Investment Reserve (PRIR)</t>
        </is>
      </c>
      <c r="C25" s="2" t="inlineStr">
        <is>
          <t>Stabilisation / Savings</t>
        </is>
      </c>
      <c r="D25" s="2" t="n">
        <v>2015</v>
      </c>
      <c r="E25" s="2" t="n">
        <v>100</v>
      </c>
      <c r="F25" s="2" t="n">
        <v>2024</v>
      </c>
      <c r="G25" s="2" t="inlineStr">
        <is>
          <t>USD/UGX</t>
        </is>
      </c>
      <c r="H25" s="2" t="inlineStr">
        <is>
          <t>Bank of Uganda</t>
        </is>
      </c>
      <c r="I25" s="2" t="inlineStr">
        <is>
          <t>Yes (BoU)</t>
        </is>
      </c>
      <c r="J25" s="2" t="inlineStr">
        <is>
          <t>M</t>
        </is>
      </c>
      <c r="K25" s="2" t="inlineStr">
        <is>
          <t>Petroleum Fund under PFMA 2015; small balance pending major oil production.</t>
        </is>
      </c>
    </row>
    <row r="26" ht="15" customHeight="1" s="26">
      <c r="A26" s="2" t="inlineStr">
        <is>
          <t>Cabo Verde</t>
        </is>
      </c>
      <c r="B26" s="2" t="inlineStr">
        <is>
          <t>—</t>
        </is>
      </c>
      <c r="C26" s="2" t="inlineStr">
        <is>
          <t>n/a</t>
        </is>
      </c>
      <c r="D26" s="2" t="inlineStr">
        <is>
          <t>n/a</t>
        </is>
      </c>
      <c r="E26" s="2" t="n">
        <v>0</v>
      </c>
      <c r="F26" s="2" t="inlineStr">
        <is>
          <t>n/a</t>
        </is>
      </c>
      <c r="G26" s="2" t="inlineStr">
        <is>
          <t>n/a</t>
        </is>
      </c>
      <c r="H26" s="2" t="inlineStr">
        <is>
          <t>n/a</t>
        </is>
      </c>
      <c r="I26" s="2" t="inlineStr">
        <is>
          <t>n/a</t>
        </is>
      </c>
      <c r="J26" s="2" t="inlineStr">
        <is>
          <t>n/a</t>
        </is>
      </c>
      <c r="K26" s="2" t="inlineStr">
        <is>
          <t>No SWF.</t>
        </is>
      </c>
    </row>
    <row r="27" ht="23.25" customHeight="1" s="26">
      <c r="A27" s="2" t="inlineStr">
        <is>
          <t>Chad</t>
        </is>
      </c>
      <c r="B27" s="2" t="inlineStr">
        <is>
          <t>Fonds de Stabilisation des Recettes Pétrolières (defunct)</t>
        </is>
      </c>
      <c r="C27" s="2" t="inlineStr">
        <is>
          <t>Stabilisation</t>
        </is>
      </c>
      <c r="D27" s="2" t="n">
        <v>1999</v>
      </c>
      <c r="E27" s="2" t="n">
        <v>0</v>
      </c>
      <c r="F27" s="2" t="inlineStr">
        <is>
          <t>n/a</t>
        </is>
      </c>
      <c r="G27" s="2" t="inlineStr">
        <is>
          <t>n/a</t>
        </is>
      </c>
      <c r="H27" s="2" t="inlineStr">
        <is>
          <t>Ministry of Finance</t>
        </is>
      </c>
      <c r="I27" s="2" t="inlineStr">
        <is>
          <t>n/a</t>
        </is>
      </c>
      <c r="J27" s="2" t="inlineStr">
        <is>
          <t>L</t>
        </is>
      </c>
      <c r="K27" s="2" t="inlineStr">
        <is>
          <t>Effectively wound down.</t>
        </is>
      </c>
    </row>
  </sheetData>
  <autoFilter ref="A1:K27"/>
  <conditionalFormatting sqref="J2:J27">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K230"/>
  <sheetViews>
    <sheetView zoomScaleNormal="100" workbookViewId="0">
      <pane ySplit="1" topLeftCell="A2" activePane="bottomLeft" state="frozen"/>
      <selection pane="bottomLeft" activeCell="A1" sqref="A1"/>
    </sheetView>
  </sheetViews>
  <sheetFormatPr baseColWidth="8" defaultColWidth="8.7109375" defaultRowHeight="15"/>
  <cols>
    <col width="18" customWidth="1" style="26" min="1" max="1"/>
    <col width="48" customWidth="1" style="26" min="2" max="2"/>
    <col width="28" customWidth="1" style="26" min="3" max="3"/>
    <col width="12" customWidth="1" style="26" min="4" max="4"/>
    <col width="16" customWidth="1" style="26" min="5" max="5"/>
    <col width="12" customWidth="1" style="26" min="6" max="6"/>
    <col width="14" customWidth="1" style="26" min="7" max="7"/>
    <col width="24" customWidth="1" style="26" min="8" max="8"/>
    <col width="22" customWidth="1" style="26" min="9" max="9"/>
    <col width="12" customWidth="1" style="26" min="10" max="10"/>
    <col width="60" customWidth="1" style="26" min="11" max="11"/>
  </cols>
  <sheetData>
    <row r="1" ht="23.25" customHeight="1" s="26">
      <c r="A1" s="1" t="inlineStr">
        <is>
          <t>Country</t>
        </is>
      </c>
      <c r="B1" s="1" t="inlineStr">
        <is>
          <t>Institution</t>
        </is>
      </c>
      <c r="C1" s="1" t="inlineStr">
        <is>
          <t>Type</t>
        </is>
      </c>
      <c r="D1" s="1" t="inlineStr">
        <is>
          <t>Established</t>
        </is>
      </c>
      <c r="E1" s="1" t="inlineStr">
        <is>
          <t>AUM (USD m, approx)</t>
        </is>
      </c>
      <c r="F1" s="1" t="inlineStr">
        <is>
          <t>As-of year</t>
        </is>
      </c>
      <c r="G1" s="1" t="inlineStr">
        <is>
          <t>Currency basis (local)</t>
        </is>
      </c>
      <c r="H1" s="1" t="inlineStr">
        <is>
          <t>Regulator</t>
        </is>
      </c>
      <c r="I1" s="1" t="inlineStr">
        <is>
          <t>Public reporting</t>
        </is>
      </c>
      <c r="J1" s="1" t="inlineStr">
        <is>
          <t>Confidence</t>
        </is>
      </c>
      <c r="K1" s="1" t="inlineStr">
        <is>
          <t>Notes</t>
        </is>
      </c>
    </row>
    <row r="2" ht="23.25" customHeight="1" s="26">
      <c r="A2" s="2" t="inlineStr">
        <is>
          <t>South Africa</t>
        </is>
      </c>
      <c r="B2" s="2" t="inlineStr">
        <is>
          <t>Government Employees Pension Fund (GEPF)</t>
        </is>
      </c>
      <c r="C2" s="2" t="inlineStr">
        <is>
          <t>Defined benefit, public sector</t>
        </is>
      </c>
      <c r="D2" s="2" t="n">
        <v>1996</v>
      </c>
      <c r="E2" s="2" t="n">
        <v>125000</v>
      </c>
      <c r="F2" s="2" t="n">
        <v>2024</v>
      </c>
      <c r="G2" s="2" t="inlineStr">
        <is>
          <t>ZAR</t>
        </is>
      </c>
      <c r="H2" s="2" t="inlineStr">
        <is>
          <t>FSCA + PIC (manager)</t>
        </is>
      </c>
      <c r="I2" s="2" t="inlineStr">
        <is>
          <t>Yes (annual report)</t>
        </is>
      </c>
      <c r="J2" s="2" t="inlineStr">
        <is>
          <t>H</t>
        </is>
      </c>
      <c r="K2" s="2" t="inlineStr">
        <is>
          <t>Largest pension fund in Africa; managed by PIC. Reg 28 allows up to 15% in private markets including ~10% in Africa-ex-SA assets.</t>
        </is>
      </c>
    </row>
    <row r="3" ht="15" customHeight="1" s="26">
      <c r="A3" s="2" t="inlineStr">
        <is>
          <t>South Africa</t>
        </is>
      </c>
      <c r="B3" s="2" t="inlineStr">
        <is>
          <t>Eskom Pension and Provident Fund (EPPF)</t>
        </is>
      </c>
      <c r="C3" s="2" t="inlineStr">
        <is>
          <t>Hybrid, parastatal</t>
        </is>
      </c>
      <c r="D3" s="2" t="n">
        <v>1973</v>
      </c>
      <c r="E3" s="2" t="n">
        <v>10000</v>
      </c>
      <c r="F3" s="2" t="n">
        <v>2024</v>
      </c>
      <c r="G3" s="2" t="inlineStr">
        <is>
          <t>ZAR</t>
        </is>
      </c>
      <c r="H3" s="2" t="inlineStr">
        <is>
          <t>FSCA</t>
        </is>
      </c>
      <c r="I3" s="2" t="inlineStr">
        <is>
          <t>Yes</t>
        </is>
      </c>
      <c r="J3" s="2" t="inlineStr">
        <is>
          <t>H</t>
        </is>
      </c>
      <c r="K3" s="2" t="inlineStr">
        <is>
          <t>Active in SA and Africa alternatives via mandate managers.</t>
        </is>
      </c>
    </row>
    <row r="4" ht="15" customHeight="1" s="26">
      <c r="A4" s="2" t="inlineStr">
        <is>
          <t>South Africa</t>
        </is>
      </c>
      <c r="B4" s="2" t="inlineStr">
        <is>
          <t>Transnet Retirement Fund</t>
        </is>
      </c>
      <c r="C4" s="2" t="inlineStr">
        <is>
          <t>DC, parastatal</t>
        </is>
      </c>
      <c r="D4" s="2" t="n">
        <v>2000</v>
      </c>
      <c r="E4" s="2" t="n">
        <v>5500</v>
      </c>
      <c r="F4" s="2" t="n">
        <v>2024</v>
      </c>
      <c r="G4" s="2" t="inlineStr">
        <is>
          <t>ZAR</t>
        </is>
      </c>
      <c r="H4" s="2" t="inlineStr">
        <is>
          <t>FSCA</t>
        </is>
      </c>
      <c r="I4" s="2" t="inlineStr">
        <is>
          <t>Yes</t>
        </is>
      </c>
      <c r="J4" s="2" t="inlineStr">
        <is>
          <t>H</t>
        </is>
      </c>
      <c r="K4" s="2" t="inlineStr">
        <is>
          <t>Also: Transnet Second Defined Benefit Fund.</t>
        </is>
      </c>
    </row>
    <row r="5" ht="15" customHeight="1" s="26">
      <c r="A5" s="2" t="inlineStr">
        <is>
          <t>South Africa</t>
        </is>
      </c>
      <c r="B5" s="2" t="inlineStr">
        <is>
          <t>Sentinel Retirement Fund</t>
        </is>
      </c>
      <c r="C5" s="2" t="inlineStr">
        <is>
          <t>DC, multi-employer (mining)</t>
        </is>
      </c>
      <c r="D5" s="2" t="n">
        <v>1946</v>
      </c>
      <c r="E5" s="2" t="n">
        <v>6000</v>
      </c>
      <c r="F5" s="2" t="n">
        <v>2024</v>
      </c>
      <c r="G5" s="2" t="inlineStr">
        <is>
          <t>ZAR</t>
        </is>
      </c>
      <c r="H5" s="2" t="inlineStr">
        <is>
          <t>FSCA</t>
        </is>
      </c>
      <c r="I5" s="2" t="inlineStr">
        <is>
          <t>Yes</t>
        </is>
      </c>
      <c r="J5" s="2" t="inlineStr">
        <is>
          <t>H</t>
        </is>
      </c>
      <c r="K5" s="2" t="inlineStr">
        <is>
          <t>Mining industry; uses external alts mandates.</t>
        </is>
      </c>
    </row>
    <row r="6" ht="15" customHeight="1" s="26">
      <c r="A6" s="2" t="inlineStr">
        <is>
          <t>South Africa</t>
        </is>
      </c>
      <c r="B6" s="2" t="inlineStr">
        <is>
          <t>Sasol Pension Fund</t>
        </is>
      </c>
      <c r="C6" s="2" t="inlineStr">
        <is>
          <t>Hybrid, corporate</t>
        </is>
      </c>
      <c r="D6" s="2" t="n">
        <v>1953</v>
      </c>
      <c r="E6" s="2" t="n">
        <v>2000</v>
      </c>
      <c r="F6" s="2" t="n">
        <v>2023</v>
      </c>
      <c r="G6" s="2" t="inlineStr">
        <is>
          <t>ZAR</t>
        </is>
      </c>
      <c r="H6" s="2" t="inlineStr">
        <is>
          <t>FSCA</t>
        </is>
      </c>
      <c r="I6" s="2" t="inlineStr">
        <is>
          <t>Yes</t>
        </is>
      </c>
      <c r="J6" s="2" t="inlineStr">
        <is>
          <t>M</t>
        </is>
      </c>
      <c r="K6" s="2" t="inlineStr">
        <is>
          <t>Corporate scheme.</t>
        </is>
      </c>
    </row>
    <row r="7" ht="15" customHeight="1" s="26">
      <c r="A7" s="2" t="inlineStr">
        <is>
          <t>South Africa</t>
        </is>
      </c>
      <c r="B7" s="2" t="inlineStr">
        <is>
          <t>Telkom Retirement Fund</t>
        </is>
      </c>
      <c r="C7" s="2" t="inlineStr">
        <is>
          <t>DC, parastatal</t>
        </is>
      </c>
      <c r="D7" s="2" t="n">
        <v>1992</v>
      </c>
      <c r="E7" s="2" t="n">
        <v>2500</v>
      </c>
      <c r="F7" s="2" t="n">
        <v>2023</v>
      </c>
      <c r="G7" s="2" t="inlineStr">
        <is>
          <t>ZAR</t>
        </is>
      </c>
      <c r="H7" s="2" t="inlineStr">
        <is>
          <t>FSCA</t>
        </is>
      </c>
      <c r="I7" s="2" t="inlineStr">
        <is>
          <t>Yes</t>
        </is>
      </c>
      <c r="J7" s="2" t="inlineStr">
        <is>
          <t>M</t>
        </is>
      </c>
      <c r="K7" s="2" t="inlineStr">
        <is>
          <t>Parastatal scheme.</t>
        </is>
      </c>
    </row>
    <row r="8" ht="15" customHeight="1" s="26">
      <c r="A8" s="2" t="inlineStr">
        <is>
          <t>South Africa</t>
        </is>
      </c>
      <c r="B8" s="2" t="inlineStr">
        <is>
          <t>AECI Pension Fund</t>
        </is>
      </c>
      <c r="C8" s="2" t="inlineStr">
        <is>
          <t>Corporate</t>
        </is>
      </c>
      <c r="D8" s="2" t="n">
        <v>1923</v>
      </c>
      <c r="E8" s="2" t="n">
        <v>1500</v>
      </c>
      <c r="F8" s="2" t="n">
        <v>2023</v>
      </c>
      <c r="G8" s="2" t="inlineStr">
        <is>
          <t>ZAR</t>
        </is>
      </c>
      <c r="H8" s="2" t="inlineStr">
        <is>
          <t>FSCA</t>
        </is>
      </c>
      <c r="I8" s="2" t="inlineStr">
        <is>
          <t>Yes</t>
        </is>
      </c>
      <c r="J8" s="2" t="inlineStr">
        <is>
          <t>M</t>
        </is>
      </c>
      <c r="K8" s="2" t="inlineStr">
        <is>
          <t>Long-running industrial pension.</t>
        </is>
      </c>
    </row>
    <row r="9" ht="15" customHeight="1" s="26">
      <c r="A9" s="2" t="inlineStr">
        <is>
          <t>South Africa</t>
        </is>
      </c>
      <c r="B9" s="2" t="inlineStr">
        <is>
          <t>Municipal Employees' Pension Fund (MEPF)</t>
        </is>
      </c>
      <c r="C9" s="2" t="inlineStr">
        <is>
          <t>Public sector</t>
        </is>
      </c>
      <c r="D9" s="2" t="n">
        <v>1986</v>
      </c>
      <c r="E9" s="2" t="n">
        <v>2000</v>
      </c>
      <c r="F9" s="2" t="n">
        <v>2023</v>
      </c>
      <c r="G9" s="2" t="inlineStr">
        <is>
          <t>ZAR</t>
        </is>
      </c>
      <c r="H9" s="2" t="inlineStr">
        <is>
          <t>FSCA</t>
        </is>
      </c>
      <c r="I9" s="2" t="inlineStr">
        <is>
          <t>Yes</t>
        </is>
      </c>
      <c r="J9" s="2" t="inlineStr">
        <is>
          <t>M</t>
        </is>
      </c>
      <c r="K9" s="2" t="inlineStr">
        <is>
          <t>Local government employees.</t>
        </is>
      </c>
    </row>
    <row r="10" ht="15" customHeight="1" s="26">
      <c r="A10" s="2" t="inlineStr">
        <is>
          <t>South Africa</t>
        </is>
      </c>
      <c r="B10" s="2" t="inlineStr">
        <is>
          <t>Municipal Workers Retirement Fund (MWRF)</t>
        </is>
      </c>
      <c r="C10" s="2" t="inlineStr">
        <is>
          <t>Public sector</t>
        </is>
      </c>
      <c r="D10" s="2" t="n">
        <v>1996</v>
      </c>
      <c r="E10" s="2" t="n">
        <v>1500</v>
      </c>
      <c r="F10" s="2" t="n">
        <v>2023</v>
      </c>
      <c r="G10" s="2" t="inlineStr">
        <is>
          <t>ZAR</t>
        </is>
      </c>
      <c r="H10" s="2" t="inlineStr">
        <is>
          <t>FSCA</t>
        </is>
      </c>
      <c r="I10" s="2" t="inlineStr">
        <is>
          <t>Yes</t>
        </is>
      </c>
      <c r="J10" s="2" t="inlineStr">
        <is>
          <t>M</t>
        </is>
      </c>
      <c r="K10" s="2" t="inlineStr">
        <is>
          <t>Local government employees.</t>
        </is>
      </c>
    </row>
    <row r="11" ht="15" customHeight="1" s="26">
      <c r="A11" s="2" t="inlineStr">
        <is>
          <t>South Africa</t>
        </is>
      </c>
      <c r="B11" s="2" t="inlineStr">
        <is>
          <t>Mineworkers Provident Fund (MWPF)</t>
        </is>
      </c>
      <c r="C11" s="2" t="inlineStr">
        <is>
          <t>Multi-employer (mining)</t>
        </is>
      </c>
      <c r="D11" s="2" t="n">
        <v>1989</v>
      </c>
      <c r="E11" s="2" t="n">
        <v>1200</v>
      </c>
      <c r="F11" s="2" t="n">
        <v>2023</v>
      </c>
      <c r="G11" s="2" t="inlineStr">
        <is>
          <t>ZAR</t>
        </is>
      </c>
      <c r="H11" s="2" t="inlineStr">
        <is>
          <t>FSCA</t>
        </is>
      </c>
      <c r="I11" s="2" t="inlineStr">
        <is>
          <t>Yes</t>
        </is>
      </c>
      <c r="J11" s="2" t="inlineStr">
        <is>
          <t>M</t>
        </is>
      </c>
      <c r="K11" s="2" t="inlineStr">
        <is>
          <t>Industry scheme.</t>
        </is>
      </c>
    </row>
    <row r="12" ht="15" customHeight="1" s="26">
      <c r="A12" s="2" t="inlineStr">
        <is>
          <t>South Africa</t>
        </is>
      </c>
      <c r="B12" s="2" t="inlineStr">
        <is>
          <t>Old Mutual Super Fund (umbrella)</t>
        </is>
      </c>
      <c r="C12" s="2" t="inlineStr">
        <is>
          <t>Umbrella DC</t>
        </is>
      </c>
      <c r="D12" s="2" t="n">
        <v>2003</v>
      </c>
      <c r="E12" s="2" t="n">
        <v>8000</v>
      </c>
      <c r="F12" s="2" t="n">
        <v>2024</v>
      </c>
      <c r="G12" s="2" t="inlineStr">
        <is>
          <t>ZAR</t>
        </is>
      </c>
      <c r="H12" s="2" t="inlineStr">
        <is>
          <t>FSCA</t>
        </is>
      </c>
      <c r="I12" s="2" t="inlineStr">
        <is>
          <t>Yes</t>
        </is>
      </c>
      <c r="J12" s="2" t="inlineStr">
        <is>
          <t>M</t>
        </is>
      </c>
      <c r="K12" s="2" t="inlineStr">
        <is>
          <t>Umbrella fund — large indirect asset owner.</t>
        </is>
      </c>
    </row>
    <row r="13" ht="15" customHeight="1" s="26">
      <c r="A13" s="2" t="inlineStr">
        <is>
          <t>South Africa</t>
        </is>
      </c>
      <c r="B13" s="2" t="inlineStr">
        <is>
          <t>Sanlam Umbrella Fund</t>
        </is>
      </c>
      <c r="C13" s="2" t="inlineStr">
        <is>
          <t>Umbrella DC</t>
        </is>
      </c>
      <c r="D13" s="2" t="n">
        <v>2007</v>
      </c>
      <c r="E13" s="2" t="n">
        <v>10000</v>
      </c>
      <c r="F13" s="2" t="n">
        <v>2024</v>
      </c>
      <c r="G13" s="2" t="inlineStr">
        <is>
          <t>ZAR</t>
        </is>
      </c>
      <c r="H13" s="2" t="inlineStr">
        <is>
          <t>FSCA</t>
        </is>
      </c>
      <c r="I13" s="2" t="inlineStr">
        <is>
          <t>Yes</t>
        </is>
      </c>
      <c r="J13" s="2" t="inlineStr">
        <is>
          <t>M</t>
        </is>
      </c>
      <c r="K13" s="2" t="inlineStr">
        <is>
          <t>Umbrella fund.</t>
        </is>
      </c>
    </row>
    <row r="14" ht="15" customHeight="1" s="26">
      <c r="A14" s="2" t="inlineStr">
        <is>
          <t>South Africa</t>
        </is>
      </c>
      <c r="B14" s="2" t="inlineStr">
        <is>
          <t>Alexforbes Retirement Fund (AF Umbrella)</t>
        </is>
      </c>
      <c r="C14" s="2" t="inlineStr">
        <is>
          <t>Umbrella DC</t>
        </is>
      </c>
      <c r="D14" s="2" t="n">
        <v>2005</v>
      </c>
      <c r="E14" s="2" t="n">
        <v>9000</v>
      </c>
      <c r="F14" s="2" t="n">
        <v>2024</v>
      </c>
      <c r="G14" s="2" t="inlineStr">
        <is>
          <t>ZAR</t>
        </is>
      </c>
      <c r="H14" s="2" t="inlineStr">
        <is>
          <t>FSCA</t>
        </is>
      </c>
      <c r="I14" s="2" t="inlineStr">
        <is>
          <t>Yes</t>
        </is>
      </c>
      <c r="J14" s="2" t="inlineStr">
        <is>
          <t>M</t>
        </is>
      </c>
      <c r="K14" s="2" t="inlineStr">
        <is>
          <t>Umbrella fund.</t>
        </is>
      </c>
    </row>
    <row r="15" ht="15" customHeight="1" s="26">
      <c r="A15" s="2" t="inlineStr">
        <is>
          <t>Nigeria</t>
        </is>
      </c>
      <c r="B15" s="2" t="inlineStr">
        <is>
          <t>Stanbic IBTC Pension Managers</t>
        </is>
      </c>
      <c r="C15" s="2" t="inlineStr">
        <is>
          <t>PFA</t>
        </is>
      </c>
      <c r="D15" s="2" t="n">
        <v>2004</v>
      </c>
      <c r="E15" s="2" t="n">
        <v>3500</v>
      </c>
      <c r="F15" s="2" t="n">
        <v>2024</v>
      </c>
      <c r="G15" s="2" t="inlineStr">
        <is>
          <t>NGN</t>
        </is>
      </c>
      <c r="H15" s="2" t="inlineStr">
        <is>
          <t>PenCom</t>
        </is>
      </c>
      <c r="I15" s="2" t="inlineStr">
        <is>
          <t>Yes (PenCom returns)</t>
        </is>
      </c>
      <c r="J15" s="2" t="inlineStr">
        <is>
          <t>H</t>
        </is>
      </c>
      <c r="K15" s="2" t="inlineStr">
        <is>
          <t>Largest PFA by AUM.</t>
        </is>
      </c>
    </row>
    <row r="16" ht="15" customHeight="1" s="26">
      <c r="A16" s="2" t="inlineStr">
        <is>
          <t>Nigeria</t>
        </is>
      </c>
      <c r="B16" s="2" t="inlineStr">
        <is>
          <t>ARM Pension Managers</t>
        </is>
      </c>
      <c r="C16" s="2" t="inlineStr">
        <is>
          <t>PFA</t>
        </is>
      </c>
      <c r="D16" s="2" t="n">
        <v>2005</v>
      </c>
      <c r="E16" s="2" t="n">
        <v>1800</v>
      </c>
      <c r="F16" s="2" t="n">
        <v>2024</v>
      </c>
      <c r="G16" s="2" t="inlineStr">
        <is>
          <t>NGN</t>
        </is>
      </c>
      <c r="H16" s="2" t="inlineStr">
        <is>
          <t>PenCom</t>
        </is>
      </c>
      <c r="I16" s="2" t="inlineStr">
        <is>
          <t>Yes</t>
        </is>
      </c>
      <c r="J16" s="2" t="inlineStr">
        <is>
          <t>H</t>
        </is>
      </c>
      <c r="K16" s="2" t="n"/>
    </row>
    <row r="17" ht="15" customHeight="1" s="26">
      <c r="A17" s="2" t="inlineStr">
        <is>
          <t>Nigeria</t>
        </is>
      </c>
      <c r="B17" s="2" t="inlineStr">
        <is>
          <t>Premium Pension Limited</t>
        </is>
      </c>
      <c r="C17" s="2" t="inlineStr">
        <is>
          <t>PFA</t>
        </is>
      </c>
      <c r="D17" s="2" t="n">
        <v>2005</v>
      </c>
      <c r="E17" s="2" t="n">
        <v>1500</v>
      </c>
      <c r="F17" s="2" t="n">
        <v>2024</v>
      </c>
      <c r="G17" s="2" t="inlineStr">
        <is>
          <t>NGN</t>
        </is>
      </c>
      <c r="H17" s="2" t="inlineStr">
        <is>
          <t>PenCom</t>
        </is>
      </c>
      <c r="I17" s="2" t="inlineStr">
        <is>
          <t>Yes</t>
        </is>
      </c>
      <c r="J17" s="2" t="inlineStr">
        <is>
          <t>H</t>
        </is>
      </c>
      <c r="K17" s="2" t="n"/>
    </row>
    <row r="18" ht="15" customHeight="1" s="26">
      <c r="A18" s="2" t="inlineStr">
        <is>
          <t>Nigeria</t>
        </is>
      </c>
      <c r="B18" s="2" t="inlineStr">
        <is>
          <t>Tangerine APT Pensions (post-merger)</t>
        </is>
      </c>
      <c r="C18" s="2" t="inlineStr">
        <is>
          <t>PFA</t>
        </is>
      </c>
      <c r="D18" s="2" t="n">
        <v>2005</v>
      </c>
      <c r="E18" s="2" t="n">
        <v>1200</v>
      </c>
      <c r="F18" s="2" t="n">
        <v>2024</v>
      </c>
      <c r="G18" s="2" t="inlineStr">
        <is>
          <t>NGN</t>
        </is>
      </c>
      <c r="H18" s="2" t="inlineStr">
        <is>
          <t>PenCom</t>
        </is>
      </c>
      <c r="I18" s="2" t="inlineStr">
        <is>
          <t>Yes</t>
        </is>
      </c>
      <c r="J18" s="2" t="inlineStr">
        <is>
          <t>H</t>
        </is>
      </c>
      <c r="K18" s="2" t="inlineStr">
        <is>
          <t>Formed from Tangerine + APT merger.</t>
        </is>
      </c>
    </row>
    <row r="19" ht="15" customHeight="1" s="26">
      <c r="A19" s="2" t="inlineStr">
        <is>
          <t>Nigeria</t>
        </is>
      </c>
      <c r="B19" s="2" t="inlineStr">
        <is>
          <t>Trustfund Pensions</t>
        </is>
      </c>
      <c r="C19" s="2" t="inlineStr">
        <is>
          <t>PFA</t>
        </is>
      </c>
      <c r="D19" s="2" t="n">
        <v>2005</v>
      </c>
      <c r="E19" s="2" t="n">
        <v>900</v>
      </c>
      <c r="F19" s="2" t="n">
        <v>2024</v>
      </c>
      <c r="G19" s="2" t="inlineStr">
        <is>
          <t>NGN</t>
        </is>
      </c>
      <c r="H19" s="2" t="inlineStr">
        <is>
          <t>PenCom</t>
        </is>
      </c>
      <c r="I19" s="2" t="inlineStr">
        <is>
          <t>Yes</t>
        </is>
      </c>
      <c r="J19" s="2" t="inlineStr">
        <is>
          <t>H</t>
        </is>
      </c>
      <c r="K19" s="2" t="n"/>
    </row>
    <row r="20" ht="15" customHeight="1" s="26">
      <c r="A20" s="2" t="inlineStr">
        <is>
          <t>Nigeria</t>
        </is>
      </c>
      <c r="B20" s="2" t="inlineStr">
        <is>
          <t>Sigma Pensions (Access Pensions post-merger)</t>
        </is>
      </c>
      <c r="C20" s="2" t="inlineStr">
        <is>
          <t>PFA</t>
        </is>
      </c>
      <c r="D20" s="2" t="n">
        <v>2005</v>
      </c>
      <c r="E20" s="2" t="n">
        <v>1100</v>
      </c>
      <c r="F20" s="2" t="n">
        <v>2024</v>
      </c>
      <c r="G20" s="2" t="inlineStr">
        <is>
          <t>NGN</t>
        </is>
      </c>
      <c r="H20" s="2" t="inlineStr">
        <is>
          <t>PenCom</t>
        </is>
      </c>
      <c r="I20" s="2" t="inlineStr">
        <is>
          <t>Yes</t>
        </is>
      </c>
      <c r="J20" s="2" t="inlineStr">
        <is>
          <t>H</t>
        </is>
      </c>
      <c r="K20" s="2" t="inlineStr">
        <is>
          <t>Acquired by Access Holdings.</t>
        </is>
      </c>
    </row>
    <row r="21" ht="15" customHeight="1" s="26">
      <c r="A21" s="2" t="inlineStr">
        <is>
          <t>Nigeria</t>
        </is>
      </c>
      <c r="B21" s="2" t="inlineStr">
        <is>
          <t>Leadway Pensure PFA</t>
        </is>
      </c>
      <c r="C21" s="2" t="inlineStr">
        <is>
          <t>PFA</t>
        </is>
      </c>
      <c r="D21" s="2" t="n">
        <v>2005</v>
      </c>
      <c r="E21" s="2" t="n">
        <v>700</v>
      </c>
      <c r="F21" s="2" t="n">
        <v>2024</v>
      </c>
      <c r="G21" s="2" t="inlineStr">
        <is>
          <t>NGN</t>
        </is>
      </c>
      <c r="H21" s="2" t="inlineStr">
        <is>
          <t>PenCom</t>
        </is>
      </c>
      <c r="I21" s="2" t="inlineStr">
        <is>
          <t>Yes</t>
        </is>
      </c>
      <c r="J21" s="2" t="inlineStr">
        <is>
          <t>M</t>
        </is>
      </c>
      <c r="K21" s="2" t="n"/>
    </row>
    <row r="22" ht="15" customHeight="1" s="26">
      <c r="A22" s="2" t="inlineStr">
        <is>
          <t>Nigeria</t>
        </is>
      </c>
      <c r="B22" s="2" t="inlineStr">
        <is>
          <t>NPF Pensions</t>
        </is>
      </c>
      <c r="C22" s="2" t="inlineStr">
        <is>
          <t>PFA</t>
        </is>
      </c>
      <c r="D22" s="2" t="n">
        <v>2012</v>
      </c>
      <c r="E22" s="2" t="n">
        <v>500</v>
      </c>
      <c r="F22" s="2" t="n">
        <v>2024</v>
      </c>
      <c r="G22" s="2" t="inlineStr">
        <is>
          <t>NGN</t>
        </is>
      </c>
      <c r="H22" s="2" t="inlineStr">
        <is>
          <t>PenCom</t>
        </is>
      </c>
      <c r="I22" s="2" t="inlineStr">
        <is>
          <t>Yes</t>
        </is>
      </c>
      <c r="J22" s="2" t="inlineStr">
        <is>
          <t>M</t>
        </is>
      </c>
      <c r="K22" s="2" t="inlineStr">
        <is>
          <t>Police pension; closed scheme model.</t>
        </is>
      </c>
    </row>
    <row r="23" ht="15" customHeight="1" s="26">
      <c r="A23" s="2" t="inlineStr">
        <is>
          <t>Nigeria</t>
        </is>
      </c>
      <c r="B23" s="2" t="inlineStr">
        <is>
          <t>Crusader Sterling Pensions</t>
        </is>
      </c>
      <c r="C23" s="2" t="inlineStr">
        <is>
          <t>PFA</t>
        </is>
      </c>
      <c r="D23" s="2" t="n">
        <v>2005</v>
      </c>
      <c r="E23" s="2" t="n">
        <v>600</v>
      </c>
      <c r="F23" s="2" t="n">
        <v>2024</v>
      </c>
      <c r="G23" s="2" t="inlineStr">
        <is>
          <t>NGN</t>
        </is>
      </c>
      <c r="H23" s="2" t="inlineStr">
        <is>
          <t>PenCom</t>
        </is>
      </c>
      <c r="I23" s="2" t="inlineStr">
        <is>
          <t>Yes</t>
        </is>
      </c>
      <c r="J23" s="2" t="inlineStr">
        <is>
          <t>M</t>
        </is>
      </c>
      <c r="K23" s="2" t="n"/>
    </row>
    <row r="24" ht="15" customHeight="1" s="26">
      <c r="A24" s="2" t="inlineStr">
        <is>
          <t>Nigeria</t>
        </is>
      </c>
      <c r="B24" s="2" t="inlineStr">
        <is>
          <t>Pensions Alliance (PAL Pensions)</t>
        </is>
      </c>
      <c r="C24" s="2" t="inlineStr">
        <is>
          <t>PFA</t>
        </is>
      </c>
      <c r="D24" s="2" t="n">
        <v>2005</v>
      </c>
      <c r="E24" s="2" t="n">
        <v>600</v>
      </c>
      <c r="F24" s="2" t="n">
        <v>2024</v>
      </c>
      <c r="G24" s="2" t="inlineStr">
        <is>
          <t>NGN</t>
        </is>
      </c>
      <c r="H24" s="2" t="inlineStr">
        <is>
          <t>PenCom</t>
        </is>
      </c>
      <c r="I24" s="2" t="inlineStr">
        <is>
          <t>Yes</t>
        </is>
      </c>
      <c r="J24" s="2" t="inlineStr">
        <is>
          <t>M</t>
        </is>
      </c>
      <c r="K24" s="2" t="n"/>
    </row>
    <row r="25" ht="15" customHeight="1" s="26">
      <c r="A25" s="2" t="inlineStr">
        <is>
          <t>Nigeria</t>
        </is>
      </c>
      <c r="B25" s="2" t="inlineStr">
        <is>
          <t>AIICO Pension Managers</t>
        </is>
      </c>
      <c r="C25" s="2" t="inlineStr">
        <is>
          <t>PFA</t>
        </is>
      </c>
      <c r="D25" s="2" t="n">
        <v>2005</v>
      </c>
      <c r="E25" s="2" t="n">
        <v>400</v>
      </c>
      <c r="F25" s="2" t="n">
        <v>2024</v>
      </c>
      <c r="G25" s="2" t="inlineStr">
        <is>
          <t>NGN</t>
        </is>
      </c>
      <c r="H25" s="2" t="inlineStr">
        <is>
          <t>PenCom</t>
        </is>
      </c>
      <c r="I25" s="2" t="inlineStr">
        <is>
          <t>Yes</t>
        </is>
      </c>
      <c r="J25" s="2" t="inlineStr">
        <is>
          <t>M</t>
        </is>
      </c>
      <c r="K25" s="2" t="n"/>
    </row>
    <row r="26" ht="15" customHeight="1" s="26">
      <c r="A26" s="2" t="inlineStr">
        <is>
          <t>Nigeria</t>
        </is>
      </c>
      <c r="B26" s="2" t="inlineStr">
        <is>
          <t>FCMB Pensions</t>
        </is>
      </c>
      <c r="C26" s="2" t="inlineStr">
        <is>
          <t>PFA</t>
        </is>
      </c>
      <c r="D26" s="2" t="n">
        <v>2005</v>
      </c>
      <c r="E26" s="2" t="n">
        <v>500</v>
      </c>
      <c r="F26" s="2" t="n">
        <v>2024</v>
      </c>
      <c r="G26" s="2" t="inlineStr">
        <is>
          <t>NGN</t>
        </is>
      </c>
      <c r="H26" s="2" t="inlineStr">
        <is>
          <t>PenCom</t>
        </is>
      </c>
      <c r="I26" s="2" t="inlineStr">
        <is>
          <t>Yes</t>
        </is>
      </c>
      <c r="J26" s="2" t="inlineStr">
        <is>
          <t>M</t>
        </is>
      </c>
      <c r="K26" s="2" t="n"/>
    </row>
    <row r="27" ht="15" customHeight="1" s="26">
      <c r="A27" s="2" t="inlineStr">
        <is>
          <t>Nigeria</t>
        </is>
      </c>
      <c r="B27" s="2" t="inlineStr">
        <is>
          <t>Fidelity Pension Managers</t>
        </is>
      </c>
      <c r="C27" s="2" t="inlineStr">
        <is>
          <t>PFA</t>
        </is>
      </c>
      <c r="D27" s="2" t="n">
        <v>2005</v>
      </c>
      <c r="E27" s="2" t="n">
        <v>400</v>
      </c>
      <c r="F27" s="2" t="n">
        <v>2024</v>
      </c>
      <c r="G27" s="2" t="inlineStr">
        <is>
          <t>NGN</t>
        </is>
      </c>
      <c r="H27" s="2" t="inlineStr">
        <is>
          <t>PenCom</t>
        </is>
      </c>
      <c r="I27" s="2" t="inlineStr">
        <is>
          <t>Yes</t>
        </is>
      </c>
      <c r="J27" s="2" t="inlineStr">
        <is>
          <t>M</t>
        </is>
      </c>
      <c r="K27" s="2" t="n"/>
    </row>
    <row r="28" ht="15" customHeight="1" s="26">
      <c r="A28" s="2" t="inlineStr">
        <is>
          <t>Nigeria</t>
        </is>
      </c>
      <c r="B28" s="2" t="inlineStr">
        <is>
          <t>NLPC Pension Fund Administrators</t>
        </is>
      </c>
      <c r="C28" s="2" t="inlineStr">
        <is>
          <t>PFA</t>
        </is>
      </c>
      <c r="D28" s="2" t="n">
        <v>2005</v>
      </c>
      <c r="E28" s="2" t="n">
        <v>350</v>
      </c>
      <c r="F28" s="2" t="n">
        <v>2024</v>
      </c>
      <c r="G28" s="2" t="inlineStr">
        <is>
          <t>NGN</t>
        </is>
      </c>
      <c r="H28" s="2" t="inlineStr">
        <is>
          <t>PenCom</t>
        </is>
      </c>
      <c r="I28" s="2" t="inlineStr">
        <is>
          <t>Yes</t>
        </is>
      </c>
      <c r="J28" s="2" t="inlineStr">
        <is>
          <t>M</t>
        </is>
      </c>
      <c r="K28" s="2" t="n"/>
    </row>
    <row r="29" ht="15" customHeight="1" s="26">
      <c r="A29" s="2" t="inlineStr">
        <is>
          <t>Nigeria</t>
        </is>
      </c>
      <c r="B29" s="2" t="inlineStr">
        <is>
          <t>Veritas Glanvill Pensions</t>
        </is>
      </c>
      <c r="C29" s="2" t="inlineStr">
        <is>
          <t>PFA</t>
        </is>
      </c>
      <c r="D29" s="2" t="n">
        <v>2005</v>
      </c>
      <c r="E29" s="2" t="n">
        <v>300</v>
      </c>
      <c r="F29" s="2" t="n">
        <v>2024</v>
      </c>
      <c r="G29" s="2" t="inlineStr">
        <is>
          <t>NGN</t>
        </is>
      </c>
      <c r="H29" s="2" t="inlineStr">
        <is>
          <t>PenCom</t>
        </is>
      </c>
      <c r="I29" s="2" t="inlineStr">
        <is>
          <t>Yes</t>
        </is>
      </c>
      <c r="J29" s="2" t="inlineStr">
        <is>
          <t>M</t>
        </is>
      </c>
      <c r="K29" s="2" t="n"/>
    </row>
    <row r="30" ht="15" customHeight="1" s="26">
      <c r="A30" s="2" t="inlineStr">
        <is>
          <t>Nigeria</t>
        </is>
      </c>
      <c r="B30" s="2" t="inlineStr">
        <is>
          <t>IEI-Anchor Pension Managers</t>
        </is>
      </c>
      <c r="C30" s="2" t="inlineStr">
        <is>
          <t>PFA</t>
        </is>
      </c>
      <c r="D30" s="2" t="n">
        <v>2007</v>
      </c>
      <c r="E30" s="2" t="n">
        <v>250</v>
      </c>
      <c r="F30" s="2" t="n">
        <v>2024</v>
      </c>
      <c r="G30" s="2" t="inlineStr">
        <is>
          <t>NGN</t>
        </is>
      </c>
      <c r="H30" s="2" t="inlineStr">
        <is>
          <t>PenCom</t>
        </is>
      </c>
      <c r="I30" s="2" t="inlineStr">
        <is>
          <t>Yes</t>
        </is>
      </c>
      <c r="J30" s="2" t="inlineStr">
        <is>
          <t>M</t>
        </is>
      </c>
      <c r="K30" s="2" t="n"/>
    </row>
    <row r="31" ht="15" customHeight="1" s="26">
      <c r="A31" s="2" t="inlineStr">
        <is>
          <t>Nigeria</t>
        </is>
      </c>
      <c r="B31" s="2" t="inlineStr">
        <is>
          <t>Norrenberger Pensions</t>
        </is>
      </c>
      <c r="C31" s="2" t="inlineStr">
        <is>
          <t>PFA</t>
        </is>
      </c>
      <c r="D31" s="2" t="n">
        <v>2005</v>
      </c>
      <c r="E31" s="2" t="n">
        <v>200</v>
      </c>
      <c r="F31" s="2" t="n">
        <v>2024</v>
      </c>
      <c r="G31" s="2" t="inlineStr">
        <is>
          <t>NGN</t>
        </is>
      </c>
      <c r="H31" s="2" t="inlineStr">
        <is>
          <t>PenCom</t>
        </is>
      </c>
      <c r="I31" s="2" t="inlineStr">
        <is>
          <t>Yes</t>
        </is>
      </c>
      <c r="J31" s="2" t="inlineStr">
        <is>
          <t>L</t>
        </is>
      </c>
      <c r="K31" s="2" t="n"/>
    </row>
    <row r="32" ht="15" customHeight="1" s="26">
      <c r="A32" s="2" t="inlineStr">
        <is>
          <t>Nigeria</t>
        </is>
      </c>
      <c r="B32" s="2" t="inlineStr">
        <is>
          <t>Radix Pension Managers</t>
        </is>
      </c>
      <c r="C32" s="2" t="inlineStr">
        <is>
          <t>PFA</t>
        </is>
      </c>
      <c r="D32" s="2" t="n">
        <v>2005</v>
      </c>
      <c r="E32" s="2" t="n">
        <v>150</v>
      </c>
      <c r="F32" s="2" t="n">
        <v>2024</v>
      </c>
      <c r="G32" s="2" t="inlineStr">
        <is>
          <t>NGN</t>
        </is>
      </c>
      <c r="H32" s="2" t="inlineStr">
        <is>
          <t>PenCom</t>
        </is>
      </c>
      <c r="I32" s="2" t="inlineStr">
        <is>
          <t>Yes</t>
        </is>
      </c>
      <c r="J32" s="2" t="inlineStr">
        <is>
          <t>L</t>
        </is>
      </c>
      <c r="K32" s="2" t="n"/>
    </row>
    <row r="33" ht="15" customHeight="1" s="26">
      <c r="A33" s="2" t="inlineStr">
        <is>
          <t>Nigeria</t>
        </is>
      </c>
      <c r="B33" s="2" t="inlineStr">
        <is>
          <t>Nigeria Social Insurance Trust Fund (NSITF)</t>
        </is>
      </c>
      <c r="C33" s="2" t="inlineStr">
        <is>
          <t>Public, employee compensation</t>
        </is>
      </c>
      <c r="D33" s="2" t="n">
        <v>1993</v>
      </c>
      <c r="E33" s="2" t="n">
        <v>350</v>
      </c>
      <c r="F33" s="2" t="n">
        <v>2023</v>
      </c>
      <c r="G33" s="2" t="inlineStr">
        <is>
          <t>NGN</t>
        </is>
      </c>
      <c r="H33" s="2" t="inlineStr">
        <is>
          <t>Federal MoL</t>
        </is>
      </c>
      <c r="I33" s="2" t="inlineStr">
        <is>
          <t>Limited</t>
        </is>
      </c>
      <c r="J33" s="2" t="inlineStr">
        <is>
          <t>L</t>
        </is>
      </c>
      <c r="K33" s="2" t="inlineStr">
        <is>
          <t>Separate from CPS PFA universe.</t>
        </is>
      </c>
    </row>
    <row r="34" ht="15" customHeight="1" s="26">
      <c r="A34" s="2" t="inlineStr">
        <is>
          <t>Kenya</t>
        </is>
      </c>
      <c r="B34" s="2" t="inlineStr">
        <is>
          <t>National Social Security Fund (NSSF Kenya)</t>
        </is>
      </c>
      <c r="C34" s="2" t="inlineStr">
        <is>
          <t>Public, mandatory</t>
        </is>
      </c>
      <c r="D34" s="2" t="n">
        <v>1965</v>
      </c>
      <c r="E34" s="2" t="n">
        <v>3200</v>
      </c>
      <c r="F34" s="2" t="n">
        <v>2024</v>
      </c>
      <c r="G34" s="2" t="inlineStr">
        <is>
          <t>KES</t>
        </is>
      </c>
      <c r="H34" s="2" t="inlineStr">
        <is>
          <t>RBA</t>
        </is>
      </c>
      <c r="I34" s="2" t="inlineStr">
        <is>
          <t>Yes</t>
        </is>
      </c>
      <c r="J34" s="2" t="inlineStr">
        <is>
          <t>H</t>
        </is>
      </c>
      <c r="K34" s="2" t="inlineStr">
        <is>
          <t>Largest single Kenyan pension fund.</t>
        </is>
      </c>
    </row>
    <row r="35" ht="15" customHeight="1" s="26">
      <c r="A35" s="2" t="inlineStr">
        <is>
          <t>Kenya</t>
        </is>
      </c>
      <c r="B35" s="2" t="inlineStr">
        <is>
          <t>Kenya Power Pension Fund (KPPF)</t>
        </is>
      </c>
      <c r="C35" s="2" t="inlineStr">
        <is>
          <t>Occupational, parastatal</t>
        </is>
      </c>
      <c r="D35" s="2" t="n">
        <v>1955</v>
      </c>
      <c r="E35" s="2" t="n">
        <v>800</v>
      </c>
      <c r="F35" s="2" t="n">
        <v>2024</v>
      </c>
      <c r="G35" s="2" t="inlineStr">
        <is>
          <t>KES</t>
        </is>
      </c>
      <c r="H35" s="2" t="inlineStr">
        <is>
          <t>RBA</t>
        </is>
      </c>
      <c r="I35" s="2" t="inlineStr">
        <is>
          <t>Yes</t>
        </is>
      </c>
      <c r="J35" s="2" t="inlineStr">
        <is>
          <t>H</t>
        </is>
      </c>
      <c r="K35" s="2" t="n"/>
    </row>
    <row r="36" ht="15" customHeight="1" s="26">
      <c r="A36" s="2" t="inlineStr">
        <is>
          <t>Kenya</t>
        </is>
      </c>
      <c r="B36" s="2" t="inlineStr">
        <is>
          <t>Local Authorities Pension Trust (LAPTRUST)</t>
        </is>
      </c>
      <c r="C36" s="2" t="inlineStr">
        <is>
          <t>Occupational, local gov't</t>
        </is>
      </c>
      <c r="D36" s="2" t="n">
        <v>1929</v>
      </c>
      <c r="E36" s="2" t="n">
        <v>700</v>
      </c>
      <c r="F36" s="2" t="n">
        <v>2024</v>
      </c>
      <c r="G36" s="2" t="inlineStr">
        <is>
          <t>KES</t>
        </is>
      </c>
      <c r="H36" s="2" t="inlineStr">
        <is>
          <t>RBA</t>
        </is>
      </c>
      <c r="I36" s="2" t="inlineStr">
        <is>
          <t>Yes</t>
        </is>
      </c>
      <c r="J36" s="2" t="inlineStr">
        <is>
          <t>H</t>
        </is>
      </c>
      <c r="K36" s="2" t="n"/>
    </row>
    <row r="37" ht="15" customHeight="1" s="26">
      <c r="A37" s="2" t="inlineStr">
        <is>
          <t>Kenya</t>
        </is>
      </c>
      <c r="B37" s="2" t="inlineStr">
        <is>
          <t>County Pension Fund (CPF Financial Services)</t>
        </is>
      </c>
      <c r="C37" s="2" t="inlineStr">
        <is>
          <t>Umbrella</t>
        </is>
      </c>
      <c r="D37" s="2" t="n">
        <v>1929</v>
      </c>
      <c r="E37" s="2" t="n">
        <v>800</v>
      </c>
      <c r="F37" s="2" t="n">
        <v>2024</v>
      </c>
      <c r="G37" s="2" t="inlineStr">
        <is>
          <t>KES</t>
        </is>
      </c>
      <c r="H37" s="2" t="inlineStr">
        <is>
          <t>RBA</t>
        </is>
      </c>
      <c r="I37" s="2" t="inlineStr">
        <is>
          <t>Yes</t>
        </is>
      </c>
      <c r="J37" s="2" t="inlineStr">
        <is>
          <t>M</t>
        </is>
      </c>
      <c r="K37" s="2" t="n"/>
    </row>
    <row r="38" ht="15" customHeight="1" s="26">
      <c r="A38" s="2" t="inlineStr">
        <is>
          <t>Kenya</t>
        </is>
      </c>
      <c r="B38" s="2" t="inlineStr">
        <is>
          <t>Telposta Pension Scheme</t>
        </is>
      </c>
      <c r="C38" s="2" t="inlineStr">
        <is>
          <t>Occupational, parastatal</t>
        </is>
      </c>
      <c r="D38" s="2" t="n">
        <v>1999</v>
      </c>
      <c r="E38" s="2" t="n">
        <v>350</v>
      </c>
      <c r="F38" s="2" t="n">
        <v>2023</v>
      </c>
      <c r="G38" s="2" t="inlineStr">
        <is>
          <t>KES</t>
        </is>
      </c>
      <c r="H38" s="2" t="inlineStr">
        <is>
          <t>RBA</t>
        </is>
      </c>
      <c r="I38" s="2" t="inlineStr">
        <is>
          <t>Yes</t>
        </is>
      </c>
      <c r="J38" s="2" t="inlineStr">
        <is>
          <t>M</t>
        </is>
      </c>
      <c r="K38" s="2" t="n"/>
    </row>
    <row r="39" ht="15" customHeight="1" s="26">
      <c r="A39" s="2" t="inlineStr">
        <is>
          <t>Kenya</t>
        </is>
      </c>
      <c r="B39" s="2" t="inlineStr">
        <is>
          <t>KPLC Staff Retirement Benefits Scheme</t>
        </is>
      </c>
      <c r="C39" s="2" t="inlineStr">
        <is>
          <t>Occupational</t>
        </is>
      </c>
      <c r="D39" s="2" t="n">
        <v>2006</v>
      </c>
      <c r="E39" s="2" t="n">
        <v>300</v>
      </c>
      <c r="F39" s="2" t="n">
        <v>2023</v>
      </c>
      <c r="G39" s="2" t="inlineStr">
        <is>
          <t>KES</t>
        </is>
      </c>
      <c r="H39" s="2" t="inlineStr">
        <is>
          <t>RBA</t>
        </is>
      </c>
      <c r="I39" s="2" t="inlineStr">
        <is>
          <t>Yes</t>
        </is>
      </c>
      <c r="J39" s="2" t="inlineStr">
        <is>
          <t>M</t>
        </is>
      </c>
      <c r="K39" s="2" t="n"/>
    </row>
    <row r="40" ht="15" customHeight="1" s="26">
      <c r="A40" s="2" t="inlineStr">
        <is>
          <t>Kenya</t>
        </is>
      </c>
      <c r="B40" s="2" t="inlineStr">
        <is>
          <t>Public Service Superannuation Scheme (PSSS)</t>
        </is>
      </c>
      <c r="C40" s="2" t="inlineStr">
        <is>
          <t>Public, civil service</t>
        </is>
      </c>
      <c r="D40" s="2" t="n">
        <v>2012</v>
      </c>
      <c r="E40" s="2" t="n">
        <v>200</v>
      </c>
      <c r="F40" s="2" t="n">
        <v>2024</v>
      </c>
      <c r="G40" s="2" t="inlineStr">
        <is>
          <t>KES</t>
        </is>
      </c>
      <c r="H40" s="2" t="inlineStr">
        <is>
          <t>RBA</t>
        </is>
      </c>
      <c r="I40" s="2" t="inlineStr">
        <is>
          <t>Limited</t>
        </is>
      </c>
      <c r="J40" s="2" t="inlineStr">
        <is>
          <t>M</t>
        </is>
      </c>
      <c r="K40" s="2" t="inlineStr">
        <is>
          <t>Newer DC scheme for new civil servants.</t>
        </is>
      </c>
    </row>
    <row r="41" ht="15" customHeight="1" s="26">
      <c r="A41" s="2" t="inlineStr">
        <is>
          <t>Ghana</t>
        </is>
      </c>
      <c r="B41" s="2" t="inlineStr">
        <is>
          <t>Social Security and National Insurance Trust (SSNIT)</t>
        </is>
      </c>
      <c r="C41" s="2" t="inlineStr">
        <is>
          <t>Public, mandatory</t>
        </is>
      </c>
      <c r="D41" s="2" t="n">
        <v>1972</v>
      </c>
      <c r="E41" s="2" t="n">
        <v>3000</v>
      </c>
      <c r="F41" s="2" t="n">
        <v>2023</v>
      </c>
      <c r="G41" s="2" t="inlineStr">
        <is>
          <t>GHS</t>
        </is>
      </c>
      <c r="H41" s="2" t="inlineStr">
        <is>
          <t>NPRA</t>
        </is>
      </c>
      <c r="I41" s="2" t="inlineStr">
        <is>
          <t>Yes (annual report)</t>
        </is>
      </c>
      <c r="J41" s="2" t="inlineStr">
        <is>
          <t>H</t>
        </is>
      </c>
      <c r="K41" s="2" t="inlineStr">
        <is>
          <t>Largest pension fund in West Africa ex-Nigeria.</t>
        </is>
      </c>
    </row>
    <row r="42" ht="15" customHeight="1" s="26">
      <c r="A42" s="2" t="inlineStr">
        <is>
          <t>Ghana</t>
        </is>
      </c>
      <c r="B42" s="2" t="inlineStr">
        <is>
          <t>Tier 2 Corporate Trustees (umbrella schemes)</t>
        </is>
      </c>
      <c r="C42" s="2" t="inlineStr">
        <is>
          <t>DC, mandatory</t>
        </is>
      </c>
      <c r="D42" s="2" t="inlineStr">
        <is>
          <t>various</t>
        </is>
      </c>
      <c r="E42" s="2" t="n">
        <v>3500</v>
      </c>
      <c r="F42" s="2" t="n">
        <v>2023</v>
      </c>
      <c r="G42" s="2" t="inlineStr">
        <is>
          <t>GHS</t>
        </is>
      </c>
      <c r="H42" s="2" t="inlineStr">
        <is>
          <t>NPRA</t>
        </is>
      </c>
      <c r="I42" s="2" t="inlineStr">
        <is>
          <t>Aggregate via NPRA</t>
        </is>
      </c>
      <c r="J42" s="2" t="inlineStr">
        <is>
          <t>M</t>
        </is>
      </c>
      <c r="K42" s="2" t="inlineStr">
        <is>
          <t>Universe of Tier 2 trustees; aggregate not allocator-level.</t>
        </is>
      </c>
    </row>
    <row r="43" ht="15" customHeight="1" s="26">
      <c r="A43" s="2" t="inlineStr">
        <is>
          <t>Uganda</t>
        </is>
      </c>
      <c r="B43" s="2" t="inlineStr">
        <is>
          <t>National Social Security Fund (NSSF Uganda)</t>
        </is>
      </c>
      <c r="C43" s="2" t="inlineStr">
        <is>
          <t>Public, mandatory</t>
        </is>
      </c>
      <c r="D43" s="2" t="n">
        <v>1985</v>
      </c>
      <c r="E43" s="2" t="n">
        <v>5800</v>
      </c>
      <c r="F43" s="2" t="n">
        <v>2024</v>
      </c>
      <c r="G43" s="2" t="inlineStr">
        <is>
          <t>UGX</t>
        </is>
      </c>
      <c r="H43" s="2" t="inlineStr">
        <is>
          <t>URBRA</t>
        </is>
      </c>
      <c r="I43" s="2" t="inlineStr">
        <is>
          <t>Yes (annual report)</t>
        </is>
      </c>
      <c r="J43" s="2" t="inlineStr">
        <is>
          <t>H</t>
        </is>
      </c>
      <c r="K43" s="2" t="inlineStr">
        <is>
          <t>Highly active allocator; has made disclosed Africa alts commitments.</t>
        </is>
      </c>
    </row>
    <row r="44" ht="15" customHeight="1" s="26">
      <c r="A44" s="2" t="inlineStr">
        <is>
          <t>Tanzania</t>
        </is>
      </c>
      <c r="B44" s="2" t="inlineStr">
        <is>
          <t>Public Service Social Security Fund (PSSSF)</t>
        </is>
      </c>
      <c r="C44" s="2" t="inlineStr">
        <is>
          <t>Public, civil service consolidated</t>
        </is>
      </c>
      <c r="D44" s="2" t="n">
        <v>2018</v>
      </c>
      <c r="E44" s="2" t="n">
        <v>6000</v>
      </c>
      <c r="F44" s="2" t="n">
        <v>2024</v>
      </c>
      <c r="G44" s="2" t="inlineStr">
        <is>
          <t>TZS</t>
        </is>
      </c>
      <c r="H44" s="2" t="inlineStr">
        <is>
          <t>SSRA</t>
        </is>
      </c>
      <c r="I44" s="2" t="inlineStr">
        <is>
          <t>Yes</t>
        </is>
      </c>
      <c r="J44" s="2" t="inlineStr">
        <is>
          <t>H</t>
        </is>
      </c>
      <c r="K44" s="2" t="inlineStr">
        <is>
          <t>Merger of PSPF, GEPF, LAPF, PPF.</t>
        </is>
      </c>
    </row>
    <row r="45" ht="15" customHeight="1" s="26">
      <c r="A45" s="2" t="inlineStr">
        <is>
          <t>Tanzania</t>
        </is>
      </c>
      <c r="B45" s="2" t="inlineStr">
        <is>
          <t>National Social Security Fund (NSSF Tanzania)</t>
        </is>
      </c>
      <c r="C45" s="2" t="inlineStr">
        <is>
          <t>Public, private sector</t>
        </is>
      </c>
      <c r="D45" s="2" t="n">
        <v>1997</v>
      </c>
      <c r="E45" s="2" t="n">
        <v>1700</v>
      </c>
      <c r="F45" s="2" t="n">
        <v>2024</v>
      </c>
      <c r="G45" s="2" t="inlineStr">
        <is>
          <t>TZS</t>
        </is>
      </c>
      <c r="H45" s="2" t="inlineStr">
        <is>
          <t>SSRA</t>
        </is>
      </c>
      <c r="I45" s="2" t="inlineStr">
        <is>
          <t>Yes</t>
        </is>
      </c>
      <c r="J45" s="2" t="inlineStr">
        <is>
          <t>H</t>
        </is>
      </c>
      <c r="K45" s="2" t="n"/>
    </row>
    <row r="46" ht="15" customHeight="1" s="26">
      <c r="A46" s="2" t="inlineStr">
        <is>
          <t>Tanzania</t>
        </is>
      </c>
      <c r="B46" s="2" t="inlineStr">
        <is>
          <t>Workers Compensation Fund (WCF)</t>
        </is>
      </c>
      <c r="C46" s="2" t="inlineStr">
        <is>
          <t>Public, workers comp</t>
        </is>
      </c>
      <c r="D46" s="2" t="n">
        <v>2015</v>
      </c>
      <c r="E46" s="2" t="n">
        <v>250</v>
      </c>
      <c r="F46" s="2" t="n">
        <v>2023</v>
      </c>
      <c r="G46" s="2" t="inlineStr">
        <is>
          <t>TZS</t>
        </is>
      </c>
      <c r="H46" s="2" t="inlineStr">
        <is>
          <t>SSRA</t>
        </is>
      </c>
      <c r="I46" s="2" t="inlineStr">
        <is>
          <t>Yes</t>
        </is>
      </c>
      <c r="J46" s="2" t="inlineStr">
        <is>
          <t>M</t>
        </is>
      </c>
      <c r="K46" s="2" t="n"/>
    </row>
    <row r="47" ht="15" customHeight="1" s="26">
      <c r="A47" s="2" t="inlineStr">
        <is>
          <t>Rwanda</t>
        </is>
      </c>
      <c r="B47" s="2" t="inlineStr">
        <is>
          <t>Rwanda Social Security Board (RSSB)</t>
        </is>
      </c>
      <c r="C47" s="2" t="inlineStr">
        <is>
          <t>Public, mandatory</t>
        </is>
      </c>
      <c r="D47" s="2" t="n">
        <v>2010</v>
      </c>
      <c r="E47" s="2" t="n">
        <v>1500</v>
      </c>
      <c r="F47" s="2" t="n">
        <v>2024</v>
      </c>
      <c r="G47" s="2" t="inlineStr">
        <is>
          <t>RWF</t>
        </is>
      </c>
      <c r="H47" s="2" t="inlineStr">
        <is>
          <t>MINECOFIN</t>
        </is>
      </c>
      <c r="I47" s="2" t="inlineStr">
        <is>
          <t>Yes</t>
        </is>
      </c>
      <c r="J47" s="2" t="inlineStr">
        <is>
          <t>H</t>
        </is>
      </c>
      <c r="K47" s="2" t="inlineStr">
        <is>
          <t>Manages pension + medical + occupational hazards branches.</t>
        </is>
      </c>
    </row>
    <row r="48" ht="15" customHeight="1" s="26">
      <c r="A48" s="2" t="inlineStr">
        <is>
          <t>Zambia</t>
        </is>
      </c>
      <c r="B48" s="2" t="inlineStr">
        <is>
          <t>National Pension Scheme Authority (NAPSA)</t>
        </is>
      </c>
      <c r="C48" s="2" t="inlineStr">
        <is>
          <t>Public, mandatory</t>
        </is>
      </c>
      <c r="D48" s="2" t="n">
        <v>1996</v>
      </c>
      <c r="E48" s="2" t="n">
        <v>2600</v>
      </c>
      <c r="F48" s="2" t="n">
        <v>2024</v>
      </c>
      <c r="G48" s="2" t="inlineStr">
        <is>
          <t>ZMW</t>
        </is>
      </c>
      <c r="H48" s="2" t="inlineStr">
        <is>
          <t>PIA</t>
        </is>
      </c>
      <c r="I48" s="2" t="inlineStr">
        <is>
          <t>Yes</t>
        </is>
      </c>
      <c r="J48" s="2" t="inlineStr">
        <is>
          <t>H</t>
        </is>
      </c>
      <c r="K48" s="2" t="n"/>
    </row>
    <row r="49" ht="15" customHeight="1" s="26">
      <c r="A49" s="2" t="inlineStr">
        <is>
          <t>Zambia</t>
        </is>
      </c>
      <c r="B49" s="2" t="inlineStr">
        <is>
          <t>Local Authorities Superannuation Fund (LASF)</t>
        </is>
      </c>
      <c r="C49" s="2" t="inlineStr">
        <is>
          <t>Occupational, local gov't</t>
        </is>
      </c>
      <c r="D49" s="2" t="n">
        <v>1958</v>
      </c>
      <c r="E49" s="2" t="n">
        <v>200</v>
      </c>
      <c r="F49" s="2" t="n">
        <v>2023</v>
      </c>
      <c r="G49" s="2" t="inlineStr">
        <is>
          <t>ZMW</t>
        </is>
      </c>
      <c r="H49" s="2" t="inlineStr">
        <is>
          <t>PIA</t>
        </is>
      </c>
      <c r="I49" s="2" t="inlineStr">
        <is>
          <t>Limited</t>
        </is>
      </c>
      <c r="J49" s="2" t="inlineStr">
        <is>
          <t>M</t>
        </is>
      </c>
      <c r="K49" s="2" t="n"/>
    </row>
    <row r="50" ht="15" customHeight="1" s="26">
      <c r="A50" s="2" t="inlineStr">
        <is>
          <t>Zambia</t>
        </is>
      </c>
      <c r="B50" s="2" t="inlineStr">
        <is>
          <t>Public Service Pension Fund (PSPF)</t>
        </is>
      </c>
      <c r="C50" s="2" t="inlineStr">
        <is>
          <t>Public, civil service</t>
        </is>
      </c>
      <c r="D50" s="2" t="n">
        <v>1996</v>
      </c>
      <c r="E50" s="2" t="n">
        <v>350</v>
      </c>
      <c r="F50" s="2" t="n">
        <v>2023</v>
      </c>
      <c r="G50" s="2" t="inlineStr">
        <is>
          <t>ZMW</t>
        </is>
      </c>
      <c r="H50" s="2" t="inlineStr">
        <is>
          <t>PIA</t>
        </is>
      </c>
      <c r="I50" s="2" t="inlineStr">
        <is>
          <t>Limited</t>
        </is>
      </c>
      <c r="J50" s="2" t="inlineStr">
        <is>
          <t>M</t>
        </is>
      </c>
      <c r="K50" s="2" t="n"/>
    </row>
    <row r="51" ht="15" customHeight="1" s="26">
      <c r="A51" s="2" t="inlineStr">
        <is>
          <t>Zimbabwe</t>
        </is>
      </c>
      <c r="B51" s="2" t="inlineStr">
        <is>
          <t>National Social Security Authority (NSSA)</t>
        </is>
      </c>
      <c r="C51" s="2" t="inlineStr">
        <is>
          <t>Public, mandatory</t>
        </is>
      </c>
      <c r="D51" s="2" t="n">
        <v>1989</v>
      </c>
      <c r="E51" s="2" t="n">
        <v>500</v>
      </c>
      <c r="F51" s="2" t="n">
        <v>2023</v>
      </c>
      <c r="G51" s="2" t="inlineStr">
        <is>
          <t>USD/ZWL</t>
        </is>
      </c>
      <c r="H51" s="2" t="inlineStr">
        <is>
          <t>IPEC</t>
        </is>
      </c>
      <c r="I51" s="2" t="inlineStr">
        <is>
          <t>Yes (limited)</t>
        </is>
      </c>
      <c r="J51" s="2" t="inlineStr">
        <is>
          <t>M</t>
        </is>
      </c>
      <c r="K51" s="2" t="inlineStr">
        <is>
          <t>Hyperinflation has distorted historical AUM.</t>
        </is>
      </c>
    </row>
    <row r="52" ht="15" customHeight="1" s="26">
      <c r="A52" s="2" t="inlineStr">
        <is>
          <t>Zimbabwe</t>
        </is>
      </c>
      <c r="B52" s="2" t="inlineStr">
        <is>
          <t>Mining Industry Pension Fund (MIPF)</t>
        </is>
      </c>
      <c r="C52" s="2" t="inlineStr">
        <is>
          <t>Multi-employer</t>
        </is>
      </c>
      <c r="D52" s="2" t="n">
        <v>1982</v>
      </c>
      <c r="E52" s="2" t="n">
        <v>400</v>
      </c>
      <c r="F52" s="2" t="n">
        <v>2023</v>
      </c>
      <c r="G52" s="2" t="inlineStr">
        <is>
          <t>USD</t>
        </is>
      </c>
      <c r="H52" s="2" t="inlineStr">
        <is>
          <t>IPEC</t>
        </is>
      </c>
      <c r="I52" s="2" t="inlineStr">
        <is>
          <t>Yes</t>
        </is>
      </c>
      <c r="J52" s="2" t="inlineStr">
        <is>
          <t>M</t>
        </is>
      </c>
      <c r="K52" s="2" t="n"/>
    </row>
    <row r="53" ht="15" customHeight="1" s="26">
      <c r="A53" s="2" t="inlineStr">
        <is>
          <t>Zimbabwe</t>
        </is>
      </c>
      <c r="B53" s="2" t="inlineStr">
        <is>
          <t>Local Authorities Pension Fund (LAPF)</t>
        </is>
      </c>
      <c r="C53" s="2" t="inlineStr">
        <is>
          <t>Occupational, local gov't</t>
        </is>
      </c>
      <c r="D53" s="2" t="n">
        <v>1948</v>
      </c>
      <c r="E53" s="2" t="n">
        <v>300</v>
      </c>
      <c r="F53" s="2" t="n">
        <v>2023</v>
      </c>
      <c r="G53" s="2" t="inlineStr">
        <is>
          <t>USD</t>
        </is>
      </c>
      <c r="H53" s="2" t="inlineStr">
        <is>
          <t>IPEC</t>
        </is>
      </c>
      <c r="I53" s="2" t="inlineStr">
        <is>
          <t>Yes</t>
        </is>
      </c>
      <c r="J53" s="2" t="inlineStr">
        <is>
          <t>M</t>
        </is>
      </c>
      <c r="K53" s="2" t="n"/>
    </row>
    <row r="54" ht="15" customHeight="1" s="26">
      <c r="A54" s="2" t="inlineStr">
        <is>
          <t>Mozambique</t>
        </is>
      </c>
      <c r="B54" s="2" t="inlineStr">
        <is>
          <t>Instituto Nacional de Segurança Social (INSS)</t>
        </is>
      </c>
      <c r="C54" s="2" t="inlineStr">
        <is>
          <t>Public, mandatory</t>
        </is>
      </c>
      <c r="D54" s="2" t="n">
        <v>1989</v>
      </c>
      <c r="E54" s="2" t="n">
        <v>800</v>
      </c>
      <c r="F54" s="2" t="n">
        <v>2023</v>
      </c>
      <c r="G54" s="2" t="inlineStr">
        <is>
          <t>MZN</t>
        </is>
      </c>
      <c r="H54" s="2" t="inlineStr">
        <is>
          <t>Ministry of Labour</t>
        </is>
      </c>
      <c r="I54" s="2" t="inlineStr">
        <is>
          <t>Limited</t>
        </is>
      </c>
      <c r="J54" s="2" t="inlineStr">
        <is>
          <t>L</t>
        </is>
      </c>
      <c r="K54" s="2" t="n"/>
    </row>
    <row r="55" ht="15" customHeight="1" s="26">
      <c r="A55" s="2" t="inlineStr">
        <is>
          <t>Angola</t>
        </is>
      </c>
      <c r="B55" s="2" t="inlineStr">
        <is>
          <t>Instituto Nacional de Segurança Social (INSS Angola)</t>
        </is>
      </c>
      <c r="C55" s="2" t="inlineStr">
        <is>
          <t>Public, mandatory</t>
        </is>
      </c>
      <c r="D55" s="2" t="n">
        <v>1991</v>
      </c>
      <c r="E55" s="2" t="n">
        <v>900</v>
      </c>
      <c r="F55" s="2" t="n">
        <v>2023</v>
      </c>
      <c r="G55" s="2" t="inlineStr">
        <is>
          <t>AOA</t>
        </is>
      </c>
      <c r="H55" s="2" t="inlineStr">
        <is>
          <t>Ministry of Public Admin</t>
        </is>
      </c>
      <c r="I55" s="2" t="inlineStr">
        <is>
          <t>Limited</t>
        </is>
      </c>
      <c r="J55" s="2" t="inlineStr">
        <is>
          <t>L</t>
        </is>
      </c>
      <c r="K55" s="2" t="n"/>
    </row>
    <row r="56" ht="15" customHeight="1" s="26">
      <c r="A56" s="2" t="inlineStr">
        <is>
          <t>Botswana</t>
        </is>
      </c>
      <c r="B56" s="2" t="inlineStr">
        <is>
          <t>Botswana Public Officers Pension Fund (BPOPF)</t>
        </is>
      </c>
      <c r="C56" s="2" t="inlineStr">
        <is>
          <t>Public sector</t>
        </is>
      </c>
      <c r="D56" s="2" t="n">
        <v>2001</v>
      </c>
      <c r="E56" s="2" t="n">
        <v>7500</v>
      </c>
      <c r="F56" s="2" t="n">
        <v>2024</v>
      </c>
      <c r="G56" s="2" t="inlineStr">
        <is>
          <t>BWP</t>
        </is>
      </c>
      <c r="H56" s="2" t="inlineStr">
        <is>
          <t>NBFIRA</t>
        </is>
      </c>
      <c r="I56" s="2" t="inlineStr">
        <is>
          <t>Yes (annual report)</t>
        </is>
      </c>
      <c r="J56" s="2" t="inlineStr">
        <is>
          <t>H</t>
        </is>
      </c>
      <c r="K56" s="2" t="inlineStr">
        <is>
          <t>Largest pension fund in Botswana; active in alts.</t>
        </is>
      </c>
    </row>
    <row r="57" ht="15" customHeight="1" s="26">
      <c r="A57" s="2" t="inlineStr">
        <is>
          <t>Botswana</t>
        </is>
      </c>
      <c r="B57" s="2" t="inlineStr">
        <is>
          <t>Debswana Pension Fund</t>
        </is>
      </c>
      <c r="C57" s="2" t="inlineStr">
        <is>
          <t>Corporate (mining JV)</t>
        </is>
      </c>
      <c r="D57" s="2" t="n">
        <v>1984</v>
      </c>
      <c r="E57" s="2" t="n">
        <v>1500</v>
      </c>
      <c r="F57" s="2" t="n">
        <v>2024</v>
      </c>
      <c r="G57" s="2" t="inlineStr">
        <is>
          <t>BWP</t>
        </is>
      </c>
      <c r="H57" s="2" t="inlineStr">
        <is>
          <t>NBFIRA</t>
        </is>
      </c>
      <c r="I57" s="2" t="inlineStr">
        <is>
          <t>Yes</t>
        </is>
      </c>
      <c r="J57" s="2" t="inlineStr">
        <is>
          <t>H</t>
        </is>
      </c>
      <c r="K57" s="2" t="inlineStr">
        <is>
          <t>De Beers / Government JV mining co. fund; alts-active.</t>
        </is>
      </c>
    </row>
    <row r="58" ht="15" customHeight="1" s="26">
      <c r="A58" s="2" t="inlineStr">
        <is>
          <t>Botswana</t>
        </is>
      </c>
      <c r="B58" s="2" t="inlineStr">
        <is>
          <t>Motor Vehicle Accident Fund (MVA)</t>
        </is>
      </c>
      <c r="C58" s="2" t="inlineStr">
        <is>
          <t>Statutory</t>
        </is>
      </c>
      <c r="D58" s="2" t="n">
        <v>1987</v>
      </c>
      <c r="E58" s="2" t="n">
        <v>400</v>
      </c>
      <c r="F58" s="2" t="n">
        <v>2023</v>
      </c>
      <c r="G58" s="2" t="inlineStr">
        <is>
          <t>BWP</t>
        </is>
      </c>
      <c r="H58" s="2" t="inlineStr">
        <is>
          <t>NBFIRA</t>
        </is>
      </c>
      <c r="I58" s="2" t="inlineStr">
        <is>
          <t>Yes</t>
        </is>
      </c>
      <c r="J58" s="2" t="inlineStr">
        <is>
          <t>M</t>
        </is>
      </c>
      <c r="K58" s="2" t="n"/>
    </row>
    <row r="59" ht="23.25" customHeight="1" s="26">
      <c r="A59" s="2" t="inlineStr">
        <is>
          <t>Namibia</t>
        </is>
      </c>
      <c r="B59" s="2" t="inlineStr">
        <is>
          <t>Government Institutions Pension Fund (GIPF)</t>
        </is>
      </c>
      <c r="C59" s="2" t="inlineStr">
        <is>
          <t>Public sector</t>
        </is>
      </c>
      <c r="D59" s="2" t="n">
        <v>1989</v>
      </c>
      <c r="E59" s="2" t="n">
        <v>9500</v>
      </c>
      <c r="F59" s="2" t="n">
        <v>2024</v>
      </c>
      <c r="G59" s="2" t="inlineStr">
        <is>
          <t>NAD</t>
        </is>
      </c>
      <c r="H59" s="2" t="inlineStr">
        <is>
          <t>NAMFISA</t>
        </is>
      </c>
      <c r="I59" s="2" t="inlineStr">
        <is>
          <t>Yes (annual report)</t>
        </is>
      </c>
      <c r="J59" s="2" t="inlineStr">
        <is>
          <t>H</t>
        </is>
      </c>
      <c r="K59" s="2" t="inlineStr">
        <is>
          <t>One of the most alts-active African pension funds; mandates an explicit unlisted-investment programme via SME/PE managers.</t>
        </is>
      </c>
    </row>
    <row r="60" ht="15" customHeight="1" s="26">
      <c r="A60" s="2" t="inlineStr">
        <is>
          <t>Namibia</t>
        </is>
      </c>
      <c r="B60" s="2" t="inlineStr">
        <is>
          <t>Old Mutual Namibia retirement funds</t>
        </is>
      </c>
      <c r="C60" s="2" t="inlineStr">
        <is>
          <t>DC umbrella</t>
        </is>
      </c>
      <c r="D60" s="2" t="n">
        <v>1920</v>
      </c>
      <c r="E60" s="2" t="n">
        <v>2000</v>
      </c>
      <c r="F60" s="2" t="n">
        <v>2024</v>
      </c>
      <c r="G60" s="2" t="inlineStr">
        <is>
          <t>NAD</t>
        </is>
      </c>
      <c r="H60" s="2" t="inlineStr">
        <is>
          <t>NAMFISA</t>
        </is>
      </c>
      <c r="I60" s="2" t="inlineStr">
        <is>
          <t>Yes</t>
        </is>
      </c>
      <c r="J60" s="2" t="inlineStr">
        <is>
          <t>M</t>
        </is>
      </c>
      <c r="K60" s="2" t="n"/>
    </row>
    <row r="61" ht="15" customHeight="1" s="26">
      <c r="A61" s="2" t="inlineStr">
        <is>
          <t>Namibia</t>
        </is>
      </c>
      <c r="B61" s="2" t="inlineStr">
        <is>
          <t>NAMCOR / parastatal pension schemes</t>
        </is>
      </c>
      <c r="C61" s="2" t="inlineStr">
        <is>
          <t>Various</t>
        </is>
      </c>
      <c r="D61" s="2" t="inlineStr">
        <is>
          <t>various</t>
        </is>
      </c>
      <c r="E61" s="2" t="n">
        <v>500</v>
      </c>
      <c r="F61" s="2" t="n">
        <v>2023</v>
      </c>
      <c r="G61" s="2" t="inlineStr">
        <is>
          <t>NAD</t>
        </is>
      </c>
      <c r="H61" s="2" t="inlineStr">
        <is>
          <t>NAMFISA</t>
        </is>
      </c>
      <c r="I61" s="2" t="inlineStr">
        <is>
          <t>Limited</t>
        </is>
      </c>
      <c r="J61" s="2" t="inlineStr">
        <is>
          <t>L</t>
        </is>
      </c>
      <c r="K61" s="2" t="n"/>
    </row>
    <row r="62" ht="23.25" customHeight="1" s="26">
      <c r="A62" s="2" t="inlineStr">
        <is>
          <t>Mauritius</t>
        </is>
      </c>
      <c r="B62" s="2" t="inlineStr">
        <is>
          <t>National Pensions Fund (NPF)</t>
        </is>
      </c>
      <c r="C62" s="2" t="inlineStr">
        <is>
          <t>Public, contributory</t>
        </is>
      </c>
      <c r="D62" s="2" t="n">
        <v>1976</v>
      </c>
      <c r="E62" s="2" t="n">
        <v>3000</v>
      </c>
      <c r="F62" s="2" t="n">
        <v>2024</v>
      </c>
      <c r="G62" s="2" t="inlineStr">
        <is>
          <t>MUR</t>
        </is>
      </c>
      <c r="H62" s="2" t="inlineStr">
        <is>
          <t>FSC / Min. Social Security</t>
        </is>
      </c>
      <c r="I62" s="2" t="inlineStr">
        <is>
          <t>Yes</t>
        </is>
      </c>
      <c r="J62" s="2" t="inlineStr">
        <is>
          <t>H</t>
        </is>
      </c>
      <c r="K62" s="2" t="inlineStr">
        <is>
          <t>Replaced by Contribution Sociale Généralisée (CSG) for new flows from 2020; NPF runs off legacy.</t>
        </is>
      </c>
    </row>
    <row r="63" ht="15" customHeight="1" s="26">
      <c r="A63" s="2" t="inlineStr">
        <is>
          <t>Mauritius</t>
        </is>
      </c>
      <c r="B63" s="2" t="inlineStr">
        <is>
          <t>SICOM Pension Schemes (parastatal)</t>
        </is>
      </c>
      <c r="C63" s="2" t="inlineStr">
        <is>
          <t>Multi-employer parastatal</t>
        </is>
      </c>
      <c r="D63" s="2" t="n">
        <v>1995</v>
      </c>
      <c r="E63" s="2" t="n">
        <v>1200</v>
      </c>
      <c r="F63" s="2" t="n">
        <v>2024</v>
      </c>
      <c r="G63" s="2" t="inlineStr">
        <is>
          <t>MUR</t>
        </is>
      </c>
      <c r="H63" s="2" t="inlineStr">
        <is>
          <t>FSC</t>
        </is>
      </c>
      <c r="I63" s="2" t="inlineStr">
        <is>
          <t>Yes</t>
        </is>
      </c>
      <c r="J63" s="2" t="inlineStr">
        <is>
          <t>M</t>
        </is>
      </c>
      <c r="K63" s="2" t="n"/>
    </row>
    <row r="64" ht="15" customHeight="1" s="26">
      <c r="A64" s="2" t="inlineStr">
        <is>
          <t>Mauritius</t>
        </is>
      </c>
      <c r="B64" s="2" t="inlineStr">
        <is>
          <t>Civil Service Family Protection Scheme (CSFPS)</t>
        </is>
      </c>
      <c r="C64" s="2" t="inlineStr">
        <is>
          <t>Public sector</t>
        </is>
      </c>
      <c r="D64" s="2" t="n">
        <v>1968</v>
      </c>
      <c r="E64" s="2" t="n">
        <v>600</v>
      </c>
      <c r="F64" s="2" t="n">
        <v>2023</v>
      </c>
      <c r="G64" s="2" t="inlineStr">
        <is>
          <t>MUR</t>
        </is>
      </c>
      <c r="H64" s="2" t="inlineStr">
        <is>
          <t>FSC</t>
        </is>
      </c>
      <c r="I64" s="2" t="inlineStr">
        <is>
          <t>Yes</t>
        </is>
      </c>
      <c r="J64" s="2" t="inlineStr">
        <is>
          <t>M</t>
        </is>
      </c>
      <c r="K64" s="2" t="n"/>
    </row>
    <row r="65" ht="15" customHeight="1" s="26">
      <c r="A65" s="2" t="inlineStr">
        <is>
          <t>Eswatini</t>
        </is>
      </c>
      <c r="B65" s="2" t="inlineStr">
        <is>
          <t>Public Service Pensions Fund (PSPF Eswatini)</t>
        </is>
      </c>
      <c r="C65" s="2" t="inlineStr">
        <is>
          <t>Public sector</t>
        </is>
      </c>
      <c r="D65" s="2" t="n">
        <v>1993</v>
      </c>
      <c r="E65" s="2" t="n">
        <v>800</v>
      </c>
      <c r="F65" s="2" t="n">
        <v>2023</v>
      </c>
      <c r="G65" s="2" t="inlineStr">
        <is>
          <t>SZL</t>
        </is>
      </c>
      <c r="H65" s="2" t="inlineStr">
        <is>
          <t>FSRA</t>
        </is>
      </c>
      <c r="I65" s="2" t="inlineStr">
        <is>
          <t>Yes</t>
        </is>
      </c>
      <c r="J65" s="2" t="inlineStr">
        <is>
          <t>M</t>
        </is>
      </c>
      <c r="K65" s="2" t="inlineStr">
        <is>
          <t>Defined benefit civil-service scheme.</t>
        </is>
      </c>
    </row>
    <row r="66" ht="15" customHeight="1" s="26">
      <c r="A66" s="2" t="inlineStr">
        <is>
          <t>Eswatini</t>
        </is>
      </c>
      <c r="B66" s="2" t="inlineStr">
        <is>
          <t>Eswatini National Provident Fund (ENPF)</t>
        </is>
      </c>
      <c r="C66" s="2" t="inlineStr">
        <is>
          <t>Public, mandatory</t>
        </is>
      </c>
      <c r="D66" s="2" t="n">
        <v>1974</v>
      </c>
      <c r="E66" s="2" t="n">
        <v>350</v>
      </c>
      <c r="F66" s="2" t="n">
        <v>2023</v>
      </c>
      <c r="G66" s="2" t="inlineStr">
        <is>
          <t>SZL</t>
        </is>
      </c>
      <c r="H66" s="2" t="inlineStr">
        <is>
          <t>FSRA</t>
        </is>
      </c>
      <c r="I66" s="2" t="inlineStr">
        <is>
          <t>Yes</t>
        </is>
      </c>
      <c r="J66" s="2" t="inlineStr">
        <is>
          <t>M</t>
        </is>
      </c>
      <c r="K66" s="2" t="n"/>
    </row>
    <row r="67" ht="23.25" customHeight="1" s="26">
      <c r="A67" s="2" t="inlineStr">
        <is>
          <t>Lesotho</t>
        </is>
      </c>
      <c r="B67" s="2" t="inlineStr">
        <is>
          <t>Public Officers' Defined Contribution Pension Fund (PODCPF)</t>
        </is>
      </c>
      <c r="C67" s="2" t="inlineStr">
        <is>
          <t>Public sector</t>
        </is>
      </c>
      <c r="D67" s="2" t="n">
        <v>2008</v>
      </c>
      <c r="E67" s="2" t="n">
        <v>400</v>
      </c>
      <c r="F67" s="2" t="n">
        <v>2023</v>
      </c>
      <c r="G67" s="2" t="inlineStr">
        <is>
          <t>LSL</t>
        </is>
      </c>
      <c r="H67" s="2" t="inlineStr">
        <is>
          <t>CBL</t>
        </is>
      </c>
      <c r="I67" s="2" t="inlineStr">
        <is>
          <t>Yes</t>
        </is>
      </c>
      <c r="J67" s="2" t="inlineStr">
        <is>
          <t>M</t>
        </is>
      </c>
      <c r="K67" s="2" t="n"/>
    </row>
    <row r="68" ht="15" customHeight="1" s="26">
      <c r="A68" s="2" t="inlineStr">
        <is>
          <t>Madagascar</t>
        </is>
      </c>
      <c r="B68" s="2" t="inlineStr">
        <is>
          <t>Caisse Nationale de Prévoyance Sociale (CNaPS)</t>
        </is>
      </c>
      <c r="C68" s="2" t="inlineStr">
        <is>
          <t>Public, mandatory</t>
        </is>
      </c>
      <c r="D68" s="2" t="n">
        <v>1969</v>
      </c>
      <c r="E68" s="2" t="n">
        <v>250</v>
      </c>
      <c r="F68" s="2" t="n">
        <v>2023</v>
      </c>
      <c r="G68" s="2" t="inlineStr">
        <is>
          <t>MGA</t>
        </is>
      </c>
      <c r="H68" s="2" t="inlineStr">
        <is>
          <t>Min. Social Affairs</t>
        </is>
      </c>
      <c r="I68" s="2" t="inlineStr">
        <is>
          <t>Limited</t>
        </is>
      </c>
      <c r="J68" s="2" t="inlineStr">
        <is>
          <t>L</t>
        </is>
      </c>
      <c r="K68" s="2" t="n"/>
    </row>
    <row r="69" ht="23.25" customHeight="1" s="26">
      <c r="A69" s="2" t="inlineStr">
        <is>
          <t>Madagascar</t>
        </is>
      </c>
      <c r="B69" s="2" t="inlineStr">
        <is>
          <t>Caisse de Retraite et de Prévoyance Sociale (CRCM, civil servants)</t>
        </is>
      </c>
      <c r="C69" s="2" t="inlineStr">
        <is>
          <t>Public sector</t>
        </is>
      </c>
      <c r="D69" s="2" t="inlineStr">
        <is>
          <t>various</t>
        </is>
      </c>
      <c r="E69" s="2" t="n">
        <v>300</v>
      </c>
      <c r="F69" s="2" t="n">
        <v>2023</v>
      </c>
      <c r="G69" s="2" t="inlineStr">
        <is>
          <t>MGA</t>
        </is>
      </c>
      <c r="H69" s="2" t="inlineStr">
        <is>
          <t>Min. Finance</t>
        </is>
      </c>
      <c r="I69" s="2" t="inlineStr">
        <is>
          <t>Limited</t>
        </is>
      </c>
      <c r="J69" s="2" t="inlineStr">
        <is>
          <t>L</t>
        </is>
      </c>
      <c r="K69" s="2" t="n"/>
    </row>
    <row r="70" ht="15" customHeight="1" s="26">
      <c r="A70" s="2" t="inlineStr">
        <is>
          <t>Malawi</t>
        </is>
      </c>
      <c r="B70" s="2" t="inlineStr">
        <is>
          <t>NICO Pension Services (largest private trustee)</t>
        </is>
      </c>
      <c r="C70" s="2" t="inlineStr">
        <is>
          <t>Private trustee</t>
        </is>
      </c>
      <c r="D70" s="2" t="n">
        <v>2011</v>
      </c>
      <c r="E70" s="2" t="n">
        <v>600</v>
      </c>
      <c r="F70" s="2" t="n">
        <v>2023</v>
      </c>
      <c r="G70" s="2" t="inlineStr">
        <is>
          <t>MWK</t>
        </is>
      </c>
      <c r="H70" s="2" t="inlineStr">
        <is>
          <t>RBM</t>
        </is>
      </c>
      <c r="I70" s="2" t="inlineStr">
        <is>
          <t>Yes</t>
        </is>
      </c>
      <c r="J70" s="2" t="inlineStr">
        <is>
          <t>M</t>
        </is>
      </c>
      <c r="K70" s="2" t="inlineStr">
        <is>
          <t>Pension reform 2011 created funded system.</t>
        </is>
      </c>
    </row>
    <row r="71" ht="15" customHeight="1" s="26">
      <c r="A71" s="2" t="inlineStr">
        <is>
          <t>Malawi</t>
        </is>
      </c>
      <c r="B71" s="2" t="inlineStr">
        <is>
          <t>Old Mutual Pension Services Malawi</t>
        </is>
      </c>
      <c r="C71" s="2" t="inlineStr">
        <is>
          <t>Private trustee</t>
        </is>
      </c>
      <c r="D71" s="2" t="n">
        <v>2011</v>
      </c>
      <c r="E71" s="2" t="n">
        <v>500</v>
      </c>
      <c r="F71" s="2" t="n">
        <v>2023</v>
      </c>
      <c r="G71" s="2" t="inlineStr">
        <is>
          <t>MWK</t>
        </is>
      </c>
      <c r="H71" s="2" t="inlineStr">
        <is>
          <t>RBM</t>
        </is>
      </c>
      <c r="I71" s="2" t="inlineStr">
        <is>
          <t>Yes</t>
        </is>
      </c>
      <c r="J71" s="2" t="inlineStr">
        <is>
          <t>M</t>
        </is>
      </c>
      <c r="K71" s="2" t="n"/>
    </row>
    <row r="72" ht="15" customHeight="1" s="26">
      <c r="A72" s="2" t="inlineStr">
        <is>
          <t>Senegal</t>
        </is>
      </c>
      <c r="B72" s="2" t="inlineStr">
        <is>
          <t>Institut de Prévoyance Retraite du Sénégal (IPRES)</t>
        </is>
      </c>
      <c r="C72" s="2" t="inlineStr">
        <is>
          <t>Private sector</t>
        </is>
      </c>
      <c r="D72" s="2" t="n">
        <v>1958</v>
      </c>
      <c r="E72" s="2" t="n">
        <v>800</v>
      </c>
      <c r="F72" s="2" t="n">
        <v>2023</v>
      </c>
      <c r="G72" s="2" t="inlineStr">
        <is>
          <t>XOF</t>
        </is>
      </c>
      <c r="H72" s="2" t="inlineStr">
        <is>
          <t>CIPRES</t>
        </is>
      </c>
      <c r="I72" s="2" t="inlineStr">
        <is>
          <t>Yes</t>
        </is>
      </c>
      <c r="J72" s="2" t="inlineStr">
        <is>
          <t>M</t>
        </is>
      </c>
      <c r="K72" s="2" t="n"/>
    </row>
    <row r="73" ht="15" customHeight="1" s="26">
      <c r="A73" s="2" t="inlineStr">
        <is>
          <t>Senegal</t>
        </is>
      </c>
      <c r="B73" s="2" t="inlineStr">
        <is>
          <t>Fonds National de Retraite (FNR)</t>
        </is>
      </c>
      <c r="C73" s="2" t="inlineStr">
        <is>
          <t>Civil service</t>
        </is>
      </c>
      <c r="D73" s="2" t="n">
        <v>1981</v>
      </c>
      <c r="E73" s="2" t="n">
        <v>400</v>
      </c>
      <c r="F73" s="2" t="n">
        <v>2023</v>
      </c>
      <c r="G73" s="2" t="inlineStr">
        <is>
          <t>XOF</t>
        </is>
      </c>
      <c r="H73" s="2" t="inlineStr">
        <is>
          <t>Min. Finance</t>
        </is>
      </c>
      <c r="I73" s="2" t="inlineStr">
        <is>
          <t>Limited</t>
        </is>
      </c>
      <c r="J73" s="2" t="inlineStr">
        <is>
          <t>M</t>
        </is>
      </c>
      <c r="K73" s="2" t="n"/>
    </row>
    <row r="74" ht="23.25" customHeight="1" s="26">
      <c r="A74" s="2" t="inlineStr">
        <is>
          <t>Senegal</t>
        </is>
      </c>
      <c r="B74" s="2" t="inlineStr">
        <is>
          <t>Caisse de Sécurité Sociale (CSS)</t>
        </is>
      </c>
      <c r="C74" s="2" t="inlineStr">
        <is>
          <t>Family allowances + workers comp</t>
        </is>
      </c>
      <c r="D74" s="2" t="n">
        <v>1973</v>
      </c>
      <c r="E74" s="2" t="n">
        <v>200</v>
      </c>
      <c r="F74" s="2" t="n">
        <v>2023</v>
      </c>
      <c r="G74" s="2" t="inlineStr">
        <is>
          <t>XOF</t>
        </is>
      </c>
      <c r="H74" s="2" t="inlineStr">
        <is>
          <t>CIPRES</t>
        </is>
      </c>
      <c r="I74" s="2" t="inlineStr">
        <is>
          <t>Limited</t>
        </is>
      </c>
      <c r="J74" s="2" t="inlineStr">
        <is>
          <t>L</t>
        </is>
      </c>
      <c r="K74" s="2" t="n"/>
    </row>
    <row r="75" ht="15" customHeight="1" s="26">
      <c r="A75" s="2" t="inlineStr">
        <is>
          <t>Côte d'Ivoire</t>
        </is>
      </c>
      <c r="B75" s="2" t="inlineStr">
        <is>
          <t>Caisse Générale de Retraite des Agents de l'État (CGRAE)</t>
        </is>
      </c>
      <c r="C75" s="2" t="inlineStr">
        <is>
          <t>Civil service</t>
        </is>
      </c>
      <c r="D75" s="2" t="n">
        <v>1958</v>
      </c>
      <c r="E75" s="2" t="n">
        <v>1800</v>
      </c>
      <c r="F75" s="2" t="n">
        <v>2024</v>
      </c>
      <c r="G75" s="2" t="inlineStr">
        <is>
          <t>XOF</t>
        </is>
      </c>
      <c r="H75" s="2" t="inlineStr">
        <is>
          <t>Min. Finance / CIPRES</t>
        </is>
      </c>
      <c r="I75" s="2" t="inlineStr">
        <is>
          <t>Yes</t>
        </is>
      </c>
      <c r="J75" s="2" t="inlineStr">
        <is>
          <t>M</t>
        </is>
      </c>
      <c r="K75" s="2" t="n"/>
    </row>
    <row r="76" ht="15" customHeight="1" s="26">
      <c r="A76" s="2" t="inlineStr">
        <is>
          <t>Côte d'Ivoire</t>
        </is>
      </c>
      <c r="B76" s="2" t="inlineStr">
        <is>
          <t>Caisse Nationale de Prévoyance Sociale (CNPS-CI)</t>
        </is>
      </c>
      <c r="C76" s="2" t="inlineStr">
        <is>
          <t>Private sector</t>
        </is>
      </c>
      <c r="D76" s="2" t="n">
        <v>1968</v>
      </c>
      <c r="E76" s="2" t="n">
        <v>1500</v>
      </c>
      <c r="F76" s="2" t="n">
        <v>2024</v>
      </c>
      <c r="G76" s="2" t="inlineStr">
        <is>
          <t>XOF</t>
        </is>
      </c>
      <c r="H76" s="2" t="inlineStr">
        <is>
          <t>CIPRES</t>
        </is>
      </c>
      <c r="I76" s="2" t="inlineStr">
        <is>
          <t>Yes</t>
        </is>
      </c>
      <c r="J76" s="2" t="inlineStr">
        <is>
          <t>M</t>
        </is>
      </c>
      <c r="K76" s="2" t="n"/>
    </row>
    <row r="77" ht="23.25" customHeight="1" s="26">
      <c r="A77" s="2" t="inlineStr">
        <is>
          <t>Cameroon</t>
        </is>
      </c>
      <c r="B77" s="2" t="inlineStr">
        <is>
          <t>Caisse Nationale de Prévoyance Sociale (CNPS Cameroon)</t>
        </is>
      </c>
      <c r="C77" s="2" t="inlineStr">
        <is>
          <t>Mandatory</t>
        </is>
      </c>
      <c r="D77" s="2" t="n">
        <v>1969</v>
      </c>
      <c r="E77" s="2" t="n">
        <v>900</v>
      </c>
      <c r="F77" s="2" t="n">
        <v>2023</v>
      </c>
      <c r="G77" s="2" t="inlineStr">
        <is>
          <t>XAF</t>
        </is>
      </c>
      <c r="H77" s="2" t="inlineStr">
        <is>
          <t>CIPRES</t>
        </is>
      </c>
      <c r="I77" s="2" t="inlineStr">
        <is>
          <t>Limited</t>
        </is>
      </c>
      <c r="J77" s="2" t="inlineStr">
        <is>
          <t>M</t>
        </is>
      </c>
      <c r="K77" s="2" t="n"/>
    </row>
    <row r="78" ht="15" customHeight="1" s="26">
      <c r="A78" s="2" t="inlineStr">
        <is>
          <t>Gabon</t>
        </is>
      </c>
      <c r="B78" s="2" t="inlineStr">
        <is>
          <t>Caisse Nationale de Sécurité Sociale (CNSS Gabon)</t>
        </is>
      </c>
      <c r="C78" s="2" t="inlineStr">
        <is>
          <t>Private sector</t>
        </is>
      </c>
      <c r="D78" s="2" t="n">
        <v>1963</v>
      </c>
      <c r="E78" s="2" t="n">
        <v>500</v>
      </c>
      <c r="F78" s="2" t="n">
        <v>2023</v>
      </c>
      <c r="G78" s="2" t="inlineStr">
        <is>
          <t>XAF</t>
        </is>
      </c>
      <c r="H78" s="2" t="inlineStr">
        <is>
          <t>CIPRES</t>
        </is>
      </c>
      <c r="I78" s="2" t="inlineStr">
        <is>
          <t>Limited</t>
        </is>
      </c>
      <c r="J78" s="2" t="inlineStr">
        <is>
          <t>M</t>
        </is>
      </c>
      <c r="K78" s="2" t="n"/>
    </row>
    <row r="79" ht="23.25" customHeight="1" s="26">
      <c r="A79" s="2" t="inlineStr">
        <is>
          <t>Gabon</t>
        </is>
      </c>
      <c r="B79" s="2" t="inlineStr">
        <is>
          <t>Caisse de Pensions et de Prestations Familiales des Agents de l'État (CPPF)</t>
        </is>
      </c>
      <c r="C79" s="2" t="inlineStr">
        <is>
          <t>Civil service</t>
        </is>
      </c>
      <c r="D79" s="2" t="n">
        <v>1983</v>
      </c>
      <c r="E79" s="2" t="n">
        <v>400</v>
      </c>
      <c r="F79" s="2" t="n">
        <v>2023</v>
      </c>
      <c r="G79" s="2" t="inlineStr">
        <is>
          <t>XAF</t>
        </is>
      </c>
      <c r="H79" s="2" t="inlineStr">
        <is>
          <t>Min. Finance</t>
        </is>
      </c>
      <c r="I79" s="2" t="inlineStr">
        <is>
          <t>Limited</t>
        </is>
      </c>
      <c r="J79" s="2" t="inlineStr">
        <is>
          <t>L</t>
        </is>
      </c>
      <c r="K79" s="2" t="n"/>
    </row>
    <row r="80" ht="15" customHeight="1" s="26">
      <c r="A80" s="2" t="inlineStr">
        <is>
          <t>DR Congo</t>
        </is>
      </c>
      <c r="B80" s="2" t="inlineStr">
        <is>
          <t>Caisse Nationale de Sécurité Sociale (CNSS DRC)</t>
        </is>
      </c>
      <c r="C80" s="2" t="inlineStr">
        <is>
          <t>Private sector</t>
        </is>
      </c>
      <c r="D80" s="2" t="n">
        <v>1961</v>
      </c>
      <c r="E80" s="2" t="n">
        <v>400</v>
      </c>
      <c r="F80" s="2" t="n">
        <v>2023</v>
      </c>
      <c r="G80" s="2" t="inlineStr">
        <is>
          <t>USD</t>
        </is>
      </c>
      <c r="H80" s="2" t="inlineStr">
        <is>
          <t>Min. Social Affairs</t>
        </is>
      </c>
      <c r="I80" s="2" t="inlineStr">
        <is>
          <t>Limited</t>
        </is>
      </c>
      <c r="J80" s="2" t="inlineStr">
        <is>
          <t>L</t>
        </is>
      </c>
      <c r="K80" s="2" t="n"/>
    </row>
    <row r="81" ht="23.25" customHeight="1" s="26">
      <c r="A81" s="2" t="inlineStr">
        <is>
          <t>DR Congo</t>
        </is>
      </c>
      <c r="B81" s="2" t="inlineStr">
        <is>
          <t>Institut National de Préparation Professionnelle (INPP) / civil service</t>
        </is>
      </c>
      <c r="C81" s="2" t="inlineStr">
        <is>
          <t>Civil service</t>
        </is>
      </c>
      <c r="D81" s="2" t="inlineStr">
        <is>
          <t>various</t>
        </is>
      </c>
      <c r="E81" s="2" t="n">
        <v>200</v>
      </c>
      <c r="F81" s="2" t="n">
        <v>2023</v>
      </c>
      <c r="G81" s="2" t="inlineStr">
        <is>
          <t>USD</t>
        </is>
      </c>
      <c r="H81" s="2" t="inlineStr">
        <is>
          <t>Min. Finance</t>
        </is>
      </c>
      <c r="I81" s="2" t="inlineStr">
        <is>
          <t>Limited</t>
        </is>
      </c>
      <c r="J81" s="2" t="inlineStr">
        <is>
          <t>L</t>
        </is>
      </c>
      <c r="K81" s="2" t="n"/>
    </row>
    <row r="82" ht="23.25" customHeight="1" s="26">
      <c r="A82" s="2" t="inlineStr">
        <is>
          <t>Ethiopia</t>
        </is>
      </c>
      <c r="B82" s="2" t="inlineStr">
        <is>
          <t>Public Servants Social Security Agency (POESSA)</t>
        </is>
      </c>
      <c r="C82" s="2" t="inlineStr">
        <is>
          <t>Civil service</t>
        </is>
      </c>
      <c r="D82" s="2" t="n">
        <v>2010</v>
      </c>
      <c r="E82" s="2" t="n">
        <v>3500</v>
      </c>
      <c r="F82" s="2" t="n">
        <v>2024</v>
      </c>
      <c r="G82" s="2" t="inlineStr">
        <is>
          <t>ETB</t>
        </is>
      </c>
      <c r="H82" s="2" t="inlineStr">
        <is>
          <t>MoF</t>
        </is>
      </c>
      <c r="I82" s="2" t="inlineStr">
        <is>
          <t>Yes (limited)</t>
        </is>
      </c>
      <c r="J82" s="2" t="inlineStr">
        <is>
          <t>M</t>
        </is>
      </c>
      <c r="K82" s="2" t="inlineStr">
        <is>
          <t>Largest public-pension AUM in Horn of Africa; primarily invested in government securities.</t>
        </is>
      </c>
    </row>
    <row r="83" ht="23.25" customHeight="1" s="26">
      <c r="A83" s="2" t="inlineStr">
        <is>
          <t>Ethiopia</t>
        </is>
      </c>
      <c r="B83" s="2" t="inlineStr">
        <is>
          <t>Private Organizations Employees Social Security Agency (POSSA)</t>
        </is>
      </c>
      <c r="C83" s="2" t="inlineStr">
        <is>
          <t>Private sector</t>
        </is>
      </c>
      <c r="D83" s="2" t="n">
        <v>2011</v>
      </c>
      <c r="E83" s="2" t="n">
        <v>1500</v>
      </c>
      <c r="F83" s="2" t="n">
        <v>2024</v>
      </c>
      <c r="G83" s="2" t="inlineStr">
        <is>
          <t>ETB</t>
        </is>
      </c>
      <c r="H83" s="2" t="inlineStr">
        <is>
          <t>MoF</t>
        </is>
      </c>
      <c r="I83" s="2" t="inlineStr">
        <is>
          <t>Yes (limited)</t>
        </is>
      </c>
      <c r="J83" s="2" t="inlineStr">
        <is>
          <t>M</t>
        </is>
      </c>
      <c r="K83" s="2" t="n"/>
    </row>
    <row r="84" ht="23.25" customHeight="1" s="26">
      <c r="A84" s="2" t="inlineStr">
        <is>
          <t>Egypt</t>
        </is>
      </c>
      <c r="B84" s="2" t="inlineStr">
        <is>
          <t>National Social Insurance Authority (NOSI / NSSA)</t>
        </is>
      </c>
      <c r="C84" s="2" t="inlineStr">
        <is>
          <t>Public, mandatory (consolidated)</t>
        </is>
      </c>
      <c r="D84" s="2" t="n">
        <v>2019</v>
      </c>
      <c r="E84" s="2" t="n">
        <v>110000</v>
      </c>
      <c r="F84" s="2" t="n">
        <v>2024</v>
      </c>
      <c r="G84" s="2" t="inlineStr">
        <is>
          <t>EGP</t>
        </is>
      </c>
      <c r="H84" s="2" t="inlineStr">
        <is>
          <t>FRA</t>
        </is>
      </c>
      <c r="I84" s="2" t="inlineStr">
        <is>
          <t>Yes</t>
        </is>
      </c>
      <c r="J84" s="2" t="inlineStr">
        <is>
          <t>M</t>
        </is>
      </c>
      <c r="K84" s="2" t="inlineStr">
        <is>
          <t>Successor to merged civil-service + general pension authorities; vast AUM mostly in EGP gov't paper. Africa-alts exposure historically minimal.</t>
        </is>
      </c>
    </row>
    <row r="85" ht="23.25" customHeight="1" s="26">
      <c r="A85" s="2" t="inlineStr">
        <is>
          <t>Egypt</t>
        </is>
      </c>
      <c r="B85" s="2" t="inlineStr">
        <is>
          <t>National Investment Bank (NIB) - legacy pension assets</t>
        </is>
      </c>
      <c r="C85" s="2" t="inlineStr">
        <is>
          <t>Sovereign deposit / pension reserves</t>
        </is>
      </c>
      <c r="D85" s="2" t="n">
        <v>1980</v>
      </c>
      <c r="E85" s="2" t="n">
        <v>30000</v>
      </c>
      <c r="F85" s="2" t="n">
        <v>2023</v>
      </c>
      <c r="G85" s="2" t="inlineStr">
        <is>
          <t>EGP</t>
        </is>
      </c>
      <c r="H85" s="2" t="inlineStr">
        <is>
          <t>MoF / CBE</t>
        </is>
      </c>
      <c r="I85" s="2" t="inlineStr">
        <is>
          <t>Limited</t>
        </is>
      </c>
      <c r="J85" s="2" t="inlineStr">
        <is>
          <t>L</t>
        </is>
      </c>
      <c r="K85" s="2" t="inlineStr">
        <is>
          <t>Has historically held pension surpluses; structure under reform.</t>
        </is>
      </c>
    </row>
    <row r="86" ht="23.25" customHeight="1" s="26">
      <c r="A86" s="2" t="inlineStr">
        <is>
          <t>Morocco</t>
        </is>
      </c>
      <c r="B86" s="2" t="inlineStr">
        <is>
          <t>Caisse de Dépôt et de Gestion (CDG)</t>
        </is>
      </c>
      <c r="C86" s="2" t="inlineStr">
        <is>
          <t>Sovereign financial group + pension manager</t>
        </is>
      </c>
      <c r="D86" s="2" t="n">
        <v>1959</v>
      </c>
      <c r="E86" s="2" t="n">
        <v>28000</v>
      </c>
      <c r="F86" s="2" t="n">
        <v>2024</v>
      </c>
      <c r="G86" s="2" t="inlineStr">
        <is>
          <t>MAD</t>
        </is>
      </c>
      <c r="H86" s="2" t="inlineStr">
        <is>
          <t>Min. Finance</t>
        </is>
      </c>
      <c r="I86" s="2" t="inlineStr">
        <is>
          <t>Yes (annual report)</t>
        </is>
      </c>
      <c r="J86" s="2" t="inlineStr">
        <is>
          <t>H</t>
        </is>
      </c>
      <c r="K86" s="2" t="inlineStr">
        <is>
          <t>Holds and manages pension reserves; major LP in Moroccan and pan-African PE/infrastructure.</t>
        </is>
      </c>
    </row>
    <row r="87" ht="15" customHeight="1" s="26">
      <c r="A87" s="2" t="inlineStr">
        <is>
          <t>Morocco</t>
        </is>
      </c>
      <c r="B87" s="2" t="inlineStr">
        <is>
          <t>Caisse Marocaine des Retraites (CMR)</t>
        </is>
      </c>
      <c r="C87" s="2" t="inlineStr">
        <is>
          <t>Civil service</t>
        </is>
      </c>
      <c r="D87" s="2" t="n">
        <v>1930</v>
      </c>
      <c r="E87" s="2" t="n">
        <v>14500</v>
      </c>
      <c r="F87" s="2" t="n">
        <v>2024</v>
      </c>
      <c r="G87" s="2" t="inlineStr">
        <is>
          <t>MAD</t>
        </is>
      </c>
      <c r="H87" s="2" t="inlineStr">
        <is>
          <t>ACAPS</t>
        </is>
      </c>
      <c r="I87" s="2" t="inlineStr">
        <is>
          <t>Yes</t>
        </is>
      </c>
      <c r="J87" s="2" t="inlineStr">
        <is>
          <t>H</t>
        </is>
      </c>
      <c r="K87" s="2" t="n"/>
    </row>
    <row r="88" ht="15" customHeight="1" s="26">
      <c r="A88" s="2" t="inlineStr">
        <is>
          <t>Morocco</t>
        </is>
      </c>
      <c r="B88" s="2" t="inlineStr">
        <is>
          <t>Caisse Nationale de Sécurité Sociale (CNSS Morocco)</t>
        </is>
      </c>
      <c r="C88" s="2" t="inlineStr">
        <is>
          <t>Private sector</t>
        </is>
      </c>
      <c r="D88" s="2" t="n">
        <v>1959</v>
      </c>
      <c r="E88" s="2" t="n">
        <v>8500</v>
      </c>
      <c r="F88" s="2" t="n">
        <v>2024</v>
      </c>
      <c r="G88" s="2" t="inlineStr">
        <is>
          <t>MAD</t>
        </is>
      </c>
      <c r="H88" s="2" t="inlineStr">
        <is>
          <t>ACAPS</t>
        </is>
      </c>
      <c r="I88" s="2" t="inlineStr">
        <is>
          <t>Yes</t>
        </is>
      </c>
      <c r="J88" s="2" t="inlineStr">
        <is>
          <t>H</t>
        </is>
      </c>
      <c r="K88" s="2" t="n"/>
    </row>
    <row r="89" ht="15" customHeight="1" s="26">
      <c r="A89" s="2" t="inlineStr">
        <is>
          <t>Morocco</t>
        </is>
      </c>
      <c r="B89" s="2" t="inlineStr">
        <is>
          <t>Régime Collectif d'Allocation de Retraite (RCAR)</t>
        </is>
      </c>
      <c r="C89" s="2" t="inlineStr">
        <is>
          <t>Parastatal</t>
        </is>
      </c>
      <c r="D89" s="2" t="n">
        <v>1977</v>
      </c>
      <c r="E89" s="2" t="n">
        <v>13000</v>
      </c>
      <c r="F89" s="2" t="n">
        <v>2024</v>
      </c>
      <c r="G89" s="2" t="inlineStr">
        <is>
          <t>MAD</t>
        </is>
      </c>
      <c r="H89" s="2" t="inlineStr">
        <is>
          <t>ACAPS</t>
        </is>
      </c>
      <c r="I89" s="2" t="inlineStr">
        <is>
          <t>Yes</t>
        </is>
      </c>
      <c r="J89" s="2" t="inlineStr">
        <is>
          <t>H</t>
        </is>
      </c>
      <c r="K89" s="2" t="inlineStr">
        <is>
          <t>Managed by CDG.</t>
        </is>
      </c>
    </row>
    <row r="90" ht="15" customHeight="1" s="26">
      <c r="A90" s="2" t="inlineStr">
        <is>
          <t>Morocco</t>
        </is>
      </c>
      <c r="B90" s="2" t="inlineStr">
        <is>
          <t>Caisse Interprofessionnelle Marocaine de Retraite (CIMR)</t>
        </is>
      </c>
      <c r="C90" s="2" t="inlineStr">
        <is>
          <t>Private complementary</t>
        </is>
      </c>
      <c r="D90" s="2" t="n">
        <v>1949</v>
      </c>
      <c r="E90" s="2" t="n">
        <v>8500</v>
      </c>
      <c r="F90" s="2" t="n">
        <v>2024</v>
      </c>
      <c r="G90" s="2" t="inlineStr">
        <is>
          <t>MAD</t>
        </is>
      </c>
      <c r="H90" s="2" t="inlineStr">
        <is>
          <t>ACAPS</t>
        </is>
      </c>
      <c r="I90" s="2" t="inlineStr">
        <is>
          <t>Yes</t>
        </is>
      </c>
      <c r="J90" s="2" t="inlineStr">
        <is>
          <t>H</t>
        </is>
      </c>
      <c r="K90" s="2" t="inlineStr">
        <is>
          <t>Voluntary supplementary scheme.</t>
        </is>
      </c>
    </row>
    <row r="91" ht="15" customHeight="1" s="26">
      <c r="A91" s="2" t="inlineStr">
        <is>
          <t>Tunisia</t>
        </is>
      </c>
      <c r="B91" s="2" t="inlineStr">
        <is>
          <t>Caisse Nationale de Sécurité Sociale (CNSS Tunisia)</t>
        </is>
      </c>
      <c r="C91" s="2" t="inlineStr">
        <is>
          <t>Private sector</t>
        </is>
      </c>
      <c r="D91" s="2" t="n">
        <v>1960</v>
      </c>
      <c r="E91" s="2" t="n">
        <v>1500</v>
      </c>
      <c r="F91" s="2" t="n">
        <v>2023</v>
      </c>
      <c r="G91" s="2" t="inlineStr">
        <is>
          <t>TND</t>
        </is>
      </c>
      <c r="H91" s="2" t="inlineStr">
        <is>
          <t>Min. Social Affairs</t>
        </is>
      </c>
      <c r="I91" s="2" t="inlineStr">
        <is>
          <t>Yes</t>
        </is>
      </c>
      <c r="J91" s="2" t="inlineStr">
        <is>
          <t>M</t>
        </is>
      </c>
      <c r="K91" s="2" t="n"/>
    </row>
    <row r="92" ht="23.25" customHeight="1" s="26">
      <c r="A92" s="2" t="inlineStr">
        <is>
          <t>Tunisia</t>
        </is>
      </c>
      <c r="B92" s="2" t="inlineStr">
        <is>
          <t>Caisse Nationale de Retraite et de Prévoyance Sociale (CNRPS)</t>
        </is>
      </c>
      <c r="C92" s="2" t="inlineStr">
        <is>
          <t>Civil service</t>
        </is>
      </c>
      <c r="D92" s="2" t="n">
        <v>1975</v>
      </c>
      <c r="E92" s="2" t="n">
        <v>2200</v>
      </c>
      <c r="F92" s="2" t="n">
        <v>2023</v>
      </c>
      <c r="G92" s="2" t="inlineStr">
        <is>
          <t>TND</t>
        </is>
      </c>
      <c r="H92" s="2" t="inlineStr">
        <is>
          <t>Min. Social Affairs</t>
        </is>
      </c>
      <c r="I92" s="2" t="inlineStr">
        <is>
          <t>Yes</t>
        </is>
      </c>
      <c r="J92" s="2" t="inlineStr">
        <is>
          <t>M</t>
        </is>
      </c>
      <c r="K92" s="2" t="n"/>
    </row>
    <row r="93" ht="15" customHeight="1" s="26">
      <c r="A93" s="2" t="inlineStr">
        <is>
          <t>Tunisia</t>
        </is>
      </c>
      <c r="B93" s="2" t="inlineStr">
        <is>
          <t>Caisse d'Assurance Maladie (CNAM)</t>
        </is>
      </c>
      <c r="C93" s="2" t="inlineStr">
        <is>
          <t>Health insurance</t>
        </is>
      </c>
      <c r="D93" s="2" t="n">
        <v>2004</v>
      </c>
      <c r="E93" s="2" t="n">
        <v>600</v>
      </c>
      <c r="F93" s="2" t="n">
        <v>2023</v>
      </c>
      <c r="G93" s="2" t="inlineStr">
        <is>
          <t>TND</t>
        </is>
      </c>
      <c r="H93" s="2" t="inlineStr">
        <is>
          <t>Min. Social Affairs</t>
        </is>
      </c>
      <c r="I93" s="2" t="inlineStr">
        <is>
          <t>Limited</t>
        </is>
      </c>
      <c r="J93" s="2" t="inlineStr">
        <is>
          <t>L</t>
        </is>
      </c>
      <c r="K93" s="2" t="n"/>
    </row>
    <row r="94" ht="15" customHeight="1" s="26">
      <c r="A94" s="2" t="inlineStr">
        <is>
          <t>Algeria</t>
        </is>
      </c>
      <c r="B94" s="2" t="inlineStr">
        <is>
          <t>Caisse Nationale des Retraites (CNR)</t>
        </is>
      </c>
      <c r="C94" s="2" t="inlineStr">
        <is>
          <t>Public, mandatory</t>
        </is>
      </c>
      <c r="D94" s="2" t="n">
        <v>1983</v>
      </c>
      <c r="E94" s="2" t="n">
        <v>3000</v>
      </c>
      <c r="F94" s="2" t="n">
        <v>2023</v>
      </c>
      <c r="G94" s="2" t="inlineStr">
        <is>
          <t>DZD</t>
        </is>
      </c>
      <c r="H94" s="2" t="inlineStr">
        <is>
          <t>Min. Labour / Social Security</t>
        </is>
      </c>
      <c r="I94" s="2" t="inlineStr">
        <is>
          <t>Limited</t>
        </is>
      </c>
      <c r="J94" s="2" t="inlineStr">
        <is>
          <t>M</t>
        </is>
      </c>
      <c r="K94" s="2" t="n"/>
    </row>
    <row r="95" ht="15" customHeight="1" s="26">
      <c r="A95" s="2" t="inlineStr">
        <is>
          <t>Algeria</t>
        </is>
      </c>
      <c r="B95" s="2" t="inlineStr">
        <is>
          <t>Caisse Nationale des Assurances Sociales (CNAS)</t>
        </is>
      </c>
      <c r="C95" s="2" t="inlineStr">
        <is>
          <t>Salaried workers</t>
        </is>
      </c>
      <c r="D95" s="2" t="n">
        <v>1992</v>
      </c>
      <c r="E95" s="2" t="n">
        <v>1500</v>
      </c>
      <c r="F95" s="2" t="n">
        <v>2023</v>
      </c>
      <c r="G95" s="2" t="inlineStr">
        <is>
          <t>DZD</t>
        </is>
      </c>
      <c r="H95" s="2" t="inlineStr">
        <is>
          <t>Min. Labour</t>
        </is>
      </c>
      <c r="I95" s="2" t="inlineStr">
        <is>
          <t>Limited</t>
        </is>
      </c>
      <c r="J95" s="2" t="inlineStr">
        <is>
          <t>M</t>
        </is>
      </c>
      <c r="K95" s="2" t="n"/>
    </row>
    <row r="96" ht="23.25" customHeight="1" s="26">
      <c r="A96" s="2" t="inlineStr">
        <is>
          <t>Algeria</t>
        </is>
      </c>
      <c r="B96" s="2" t="inlineStr">
        <is>
          <t>Caisse Nationale de Sécurité Sociale des Non-Salariés (CASNOS)</t>
        </is>
      </c>
      <c r="C96" s="2" t="inlineStr">
        <is>
          <t>Self-employed</t>
        </is>
      </c>
      <c r="D96" s="2" t="n">
        <v>1992</v>
      </c>
      <c r="E96" s="2" t="n">
        <v>400</v>
      </c>
      <c r="F96" s="2" t="n">
        <v>2023</v>
      </c>
      <c r="G96" s="2" t="inlineStr">
        <is>
          <t>DZD</t>
        </is>
      </c>
      <c r="H96" s="2" t="inlineStr">
        <is>
          <t>Min. Labour</t>
        </is>
      </c>
      <c r="I96" s="2" t="inlineStr">
        <is>
          <t>Limited</t>
        </is>
      </c>
      <c r="J96" s="2" t="inlineStr">
        <is>
          <t>L</t>
        </is>
      </c>
      <c r="K96" s="2" t="n"/>
    </row>
    <row r="97" ht="15" customHeight="1" s="26">
      <c r="A97" s="2" t="inlineStr">
        <is>
          <t>Libya</t>
        </is>
      </c>
      <c r="B97" s="2" t="inlineStr">
        <is>
          <t>Social Security Fund of Libya (SSF)</t>
        </is>
      </c>
      <c r="C97" s="2" t="inlineStr">
        <is>
          <t>Public, mandatory</t>
        </is>
      </c>
      <c r="D97" s="2" t="n">
        <v>1980</v>
      </c>
      <c r="E97" s="2" t="n">
        <v>9000</v>
      </c>
      <c r="F97" s="2" t="n">
        <v>2023</v>
      </c>
      <c r="G97" s="2" t="inlineStr">
        <is>
          <t>LYD</t>
        </is>
      </c>
      <c r="H97" s="2" t="inlineStr">
        <is>
          <t>Min. Social Affairs</t>
        </is>
      </c>
      <c r="I97" s="2" t="inlineStr">
        <is>
          <t>Limited</t>
        </is>
      </c>
      <c r="J97" s="2" t="inlineStr">
        <is>
          <t>L</t>
        </is>
      </c>
      <c r="K97" s="2" t="inlineStr">
        <is>
          <t>Largely invested in domestic deposits; political instability constrains AM.</t>
        </is>
      </c>
    </row>
    <row r="98" ht="15" customHeight="1" s="26">
      <c r="A98" s="2" t="inlineStr">
        <is>
          <t>Burkina Faso</t>
        </is>
      </c>
      <c r="B98" s="2" t="inlineStr">
        <is>
          <t>Caisse Nationale de Sécurité Sociale (CNSS Burkina)</t>
        </is>
      </c>
      <c r="C98" s="2" t="inlineStr">
        <is>
          <t>Mandatory</t>
        </is>
      </c>
      <c r="D98" s="2" t="n">
        <v>1955</v>
      </c>
      <c r="E98" s="2" t="n">
        <v>600</v>
      </c>
      <c r="F98" s="2" t="n">
        <v>2023</v>
      </c>
      <c r="G98" s="2" t="inlineStr">
        <is>
          <t>XOF</t>
        </is>
      </c>
      <c r="H98" s="2" t="inlineStr">
        <is>
          <t>CIPRES</t>
        </is>
      </c>
      <c r="I98" s="2" t="inlineStr">
        <is>
          <t>Limited</t>
        </is>
      </c>
      <c r="J98" s="2" t="inlineStr">
        <is>
          <t>M</t>
        </is>
      </c>
      <c r="K98" s="2" t="n"/>
    </row>
    <row r="99" ht="15" customHeight="1" s="26">
      <c r="A99" s="2" t="inlineStr">
        <is>
          <t>Burkina Faso</t>
        </is>
      </c>
      <c r="B99" s="2" t="inlineStr">
        <is>
          <t>Caisse Autonome de Retraite des Fonctionnaires (CARFO)</t>
        </is>
      </c>
      <c r="C99" s="2" t="inlineStr">
        <is>
          <t>Civil service</t>
        </is>
      </c>
      <c r="D99" s="2" t="n">
        <v>1986</v>
      </c>
      <c r="E99" s="2" t="n">
        <v>400</v>
      </c>
      <c r="F99" s="2" t="n">
        <v>2023</v>
      </c>
      <c r="G99" s="2" t="inlineStr">
        <is>
          <t>XOF</t>
        </is>
      </c>
      <c r="H99" s="2" t="inlineStr">
        <is>
          <t>Min. Finance</t>
        </is>
      </c>
      <c r="I99" s="2" t="inlineStr">
        <is>
          <t>Limited</t>
        </is>
      </c>
      <c r="J99" s="2" t="inlineStr">
        <is>
          <t>M</t>
        </is>
      </c>
      <c r="K99" s="2" t="n"/>
    </row>
    <row r="100" ht="15" customHeight="1" s="26">
      <c r="A100" s="2" t="inlineStr">
        <is>
          <t>Mali</t>
        </is>
      </c>
      <c r="B100" s="2" t="inlineStr">
        <is>
          <t>Institut National de Prévoyance Sociale (INPS Mali)</t>
        </is>
      </c>
      <c r="C100" s="2" t="inlineStr">
        <is>
          <t>Mandatory</t>
        </is>
      </c>
      <c r="D100" s="2" t="n">
        <v>1961</v>
      </c>
      <c r="E100" s="2" t="n">
        <v>300</v>
      </c>
      <c r="F100" s="2" t="n">
        <v>2023</v>
      </c>
      <c r="G100" s="2" t="inlineStr">
        <is>
          <t>XOF</t>
        </is>
      </c>
      <c r="H100" s="2" t="inlineStr">
        <is>
          <t>CIPRES</t>
        </is>
      </c>
      <c r="I100" s="2" t="inlineStr">
        <is>
          <t>Limited</t>
        </is>
      </c>
      <c r="J100" s="2" t="inlineStr">
        <is>
          <t>L</t>
        </is>
      </c>
      <c r="K100" s="2" t="n"/>
    </row>
    <row r="101" ht="15" customHeight="1" s="26">
      <c r="A101" s="2" t="inlineStr">
        <is>
          <t>Mali</t>
        </is>
      </c>
      <c r="B101" s="2" t="inlineStr">
        <is>
          <t>Caisse Malienne de Sécurité Sociale (CMSS)</t>
        </is>
      </c>
      <c r="C101" s="2" t="inlineStr">
        <is>
          <t>Civil service</t>
        </is>
      </c>
      <c r="D101" s="2" t="n">
        <v>1961</v>
      </c>
      <c r="E101" s="2" t="n">
        <v>250</v>
      </c>
      <c r="F101" s="2" t="n">
        <v>2023</v>
      </c>
      <c r="G101" s="2" t="inlineStr">
        <is>
          <t>XOF</t>
        </is>
      </c>
      <c r="H101" s="2" t="inlineStr">
        <is>
          <t>Min. Finance</t>
        </is>
      </c>
      <c r="I101" s="2" t="inlineStr">
        <is>
          <t>Limited</t>
        </is>
      </c>
      <c r="J101" s="2" t="inlineStr">
        <is>
          <t>L</t>
        </is>
      </c>
      <c r="K101" s="2" t="n"/>
    </row>
    <row r="102" ht="15" customHeight="1" s="26">
      <c r="A102" s="2" t="inlineStr">
        <is>
          <t>Benin</t>
        </is>
      </c>
      <c r="B102" s="2" t="inlineStr">
        <is>
          <t>Caisse Nationale de Sécurité Sociale (CNSS Benin)</t>
        </is>
      </c>
      <c r="C102" s="2" t="inlineStr">
        <is>
          <t>Mandatory</t>
        </is>
      </c>
      <c r="D102" s="2" t="n">
        <v>1970</v>
      </c>
      <c r="E102" s="2" t="n">
        <v>350</v>
      </c>
      <c r="F102" s="2" t="n">
        <v>2023</v>
      </c>
      <c r="G102" s="2" t="inlineStr">
        <is>
          <t>XOF</t>
        </is>
      </c>
      <c r="H102" s="2" t="inlineStr">
        <is>
          <t>CIPRES</t>
        </is>
      </c>
      <c r="I102" s="2" t="inlineStr">
        <is>
          <t>Limited</t>
        </is>
      </c>
      <c r="J102" s="2" t="inlineStr">
        <is>
          <t>M</t>
        </is>
      </c>
      <c r="K102" s="2" t="n"/>
    </row>
    <row r="103" ht="15" customHeight="1" s="26">
      <c r="A103" s="2" t="inlineStr">
        <is>
          <t>Benin</t>
        </is>
      </c>
      <c r="B103" s="2" t="inlineStr">
        <is>
          <t>Fonds National de Retraite du Bénin (FNRB)</t>
        </is>
      </c>
      <c r="C103" s="2" t="inlineStr">
        <is>
          <t>Civil service</t>
        </is>
      </c>
      <c r="D103" s="2" t="n">
        <v>1986</v>
      </c>
      <c r="E103" s="2" t="n">
        <v>250</v>
      </c>
      <c r="F103" s="2" t="n">
        <v>2023</v>
      </c>
      <c r="G103" s="2" t="inlineStr">
        <is>
          <t>XOF</t>
        </is>
      </c>
      <c r="H103" s="2" t="inlineStr">
        <is>
          <t>Min. Finance</t>
        </is>
      </c>
      <c r="I103" s="2" t="inlineStr">
        <is>
          <t>Limited</t>
        </is>
      </c>
      <c r="J103" s="2" t="inlineStr">
        <is>
          <t>L</t>
        </is>
      </c>
      <c r="K103" s="2" t="n"/>
    </row>
    <row r="104" ht="15" customHeight="1" s="26">
      <c r="A104" s="2" t="inlineStr">
        <is>
          <t>Niger</t>
        </is>
      </c>
      <c r="B104" s="2" t="inlineStr">
        <is>
          <t>Caisse Nationale de Sécurité Sociale (CNSS Niger)</t>
        </is>
      </c>
      <c r="C104" s="2" t="inlineStr">
        <is>
          <t>Mandatory</t>
        </is>
      </c>
      <c r="D104" s="2" t="n">
        <v>1967</v>
      </c>
      <c r="E104" s="2" t="n">
        <v>200</v>
      </c>
      <c r="F104" s="2" t="n">
        <v>2023</v>
      </c>
      <c r="G104" s="2" t="inlineStr">
        <is>
          <t>XOF</t>
        </is>
      </c>
      <c r="H104" s="2" t="inlineStr">
        <is>
          <t>CIPRES</t>
        </is>
      </c>
      <c r="I104" s="2" t="inlineStr">
        <is>
          <t>Limited</t>
        </is>
      </c>
      <c r="J104" s="2" t="inlineStr">
        <is>
          <t>L</t>
        </is>
      </c>
      <c r="K104" s="2" t="n"/>
    </row>
    <row r="105" ht="15" customHeight="1" s="26">
      <c r="A105" s="2" t="inlineStr">
        <is>
          <t>Togo</t>
        </is>
      </c>
      <c r="B105" s="2" t="inlineStr">
        <is>
          <t>Caisse Nationale de Sécurité Sociale (CNSS Togo)</t>
        </is>
      </c>
      <c r="C105" s="2" t="inlineStr">
        <is>
          <t>Mandatory</t>
        </is>
      </c>
      <c r="D105" s="2" t="n">
        <v>1973</v>
      </c>
      <c r="E105" s="2" t="n">
        <v>250</v>
      </c>
      <c r="F105" s="2" t="n">
        <v>2023</v>
      </c>
      <c r="G105" s="2" t="inlineStr">
        <is>
          <t>XOF</t>
        </is>
      </c>
      <c r="H105" s="2" t="inlineStr">
        <is>
          <t>CIPRES</t>
        </is>
      </c>
      <c r="I105" s="2" t="inlineStr">
        <is>
          <t>Limited</t>
        </is>
      </c>
      <c r="J105" s="2" t="inlineStr">
        <is>
          <t>L</t>
        </is>
      </c>
      <c r="K105" s="2" t="n"/>
    </row>
    <row r="106" ht="15" customHeight="1" s="26">
      <c r="A106" s="2" t="inlineStr">
        <is>
          <t>Togo</t>
        </is>
      </c>
      <c r="B106" s="2" t="inlineStr">
        <is>
          <t>Caisse de Retraite du Togo (CRT)</t>
        </is>
      </c>
      <c r="C106" s="2" t="inlineStr">
        <is>
          <t>Civil service</t>
        </is>
      </c>
      <c r="D106" s="2" t="n">
        <v>1991</v>
      </c>
      <c r="E106" s="2" t="n">
        <v>200</v>
      </c>
      <c r="F106" s="2" t="n">
        <v>2023</v>
      </c>
      <c r="G106" s="2" t="inlineStr">
        <is>
          <t>XOF</t>
        </is>
      </c>
      <c r="H106" s="2" t="inlineStr">
        <is>
          <t>Min. Finance</t>
        </is>
      </c>
      <c r="I106" s="2" t="inlineStr">
        <is>
          <t>Limited</t>
        </is>
      </c>
      <c r="J106" s="2" t="inlineStr">
        <is>
          <t>L</t>
        </is>
      </c>
      <c r="K106" s="2" t="n"/>
    </row>
    <row r="107" ht="15" customHeight="1" s="26">
      <c r="A107" s="2" t="inlineStr">
        <is>
          <t>Guinea</t>
        </is>
      </c>
      <c r="B107" s="2" t="inlineStr">
        <is>
          <t>Caisse Nationale de Sécurité Sociale (CNSS Guinea)</t>
        </is>
      </c>
      <c r="C107" s="2" t="inlineStr">
        <is>
          <t>Mandatory</t>
        </is>
      </c>
      <c r="D107" s="2" t="n">
        <v>1960</v>
      </c>
      <c r="E107" s="2" t="n">
        <v>200</v>
      </c>
      <c r="F107" s="2" t="n">
        <v>2023</v>
      </c>
      <c r="G107" s="2" t="inlineStr">
        <is>
          <t>GNF</t>
        </is>
      </c>
      <c r="H107" s="2" t="inlineStr">
        <is>
          <t>Min. Social Affairs</t>
        </is>
      </c>
      <c r="I107" s="2" t="inlineStr">
        <is>
          <t>Limited</t>
        </is>
      </c>
      <c r="J107" s="2" t="inlineStr">
        <is>
          <t>L</t>
        </is>
      </c>
      <c r="K107" s="2" t="n"/>
    </row>
    <row r="108" ht="15" customHeight="1" s="26">
      <c r="A108" s="2" t="inlineStr">
        <is>
          <t>Guinea-Bissau</t>
        </is>
      </c>
      <c r="B108" s="2" t="inlineStr">
        <is>
          <t>Instituto Nacional de Segurança Social (INSS GB)</t>
        </is>
      </c>
      <c r="C108" s="2" t="inlineStr">
        <is>
          <t>Mandatory</t>
        </is>
      </c>
      <c r="D108" s="2" t="n">
        <v>1986</v>
      </c>
      <c r="E108" s="2" t="n">
        <v>30</v>
      </c>
      <c r="F108" s="2" t="n">
        <v>2022</v>
      </c>
      <c r="G108" s="2" t="inlineStr">
        <is>
          <t>XOF</t>
        </is>
      </c>
      <c r="H108" s="2" t="inlineStr">
        <is>
          <t>Min. Finance</t>
        </is>
      </c>
      <c r="I108" s="2" t="inlineStr">
        <is>
          <t>Limited</t>
        </is>
      </c>
      <c r="J108" s="2" t="inlineStr">
        <is>
          <t>L</t>
        </is>
      </c>
      <c r="K108" s="2" t="inlineStr">
        <is>
          <t>Very small.</t>
        </is>
      </c>
    </row>
    <row r="109" ht="15" customHeight="1" s="26">
      <c r="A109" s="2" t="inlineStr">
        <is>
          <t>Congo (Brazzaville)</t>
        </is>
      </c>
      <c r="B109" s="2" t="inlineStr">
        <is>
          <t>Caisse Nationale de Sécurité Sociale (CNSS Congo)</t>
        </is>
      </c>
      <c r="C109" s="2" t="inlineStr">
        <is>
          <t>Mandatory</t>
        </is>
      </c>
      <c r="D109" s="2" t="n">
        <v>1986</v>
      </c>
      <c r="E109" s="2" t="n">
        <v>300</v>
      </c>
      <c r="F109" s="2" t="n">
        <v>2023</v>
      </c>
      <c r="G109" s="2" t="inlineStr">
        <is>
          <t>XAF</t>
        </is>
      </c>
      <c r="H109" s="2" t="inlineStr">
        <is>
          <t>CIPRES</t>
        </is>
      </c>
      <c r="I109" s="2" t="inlineStr">
        <is>
          <t>Limited</t>
        </is>
      </c>
      <c r="J109" s="2" t="inlineStr">
        <is>
          <t>L</t>
        </is>
      </c>
      <c r="K109" s="2" t="n"/>
    </row>
    <row r="110" ht="23.25" customHeight="1" s="26">
      <c r="A110" s="2" t="inlineStr">
        <is>
          <t>Central African Republic</t>
        </is>
      </c>
      <c r="B110" s="2" t="inlineStr">
        <is>
          <t>Caisse Nationale de Sécurité Sociale (CNSS CAR)</t>
        </is>
      </c>
      <c r="C110" s="2" t="inlineStr">
        <is>
          <t>Mandatory</t>
        </is>
      </c>
      <c r="D110" s="2" t="n">
        <v>1981</v>
      </c>
      <c r="E110" s="2" t="n">
        <v>50</v>
      </c>
      <c r="F110" s="2" t="n">
        <v>2022</v>
      </c>
      <c r="G110" s="2" t="inlineStr">
        <is>
          <t>XAF</t>
        </is>
      </c>
      <c r="H110" s="2" t="inlineStr">
        <is>
          <t>CIPRES</t>
        </is>
      </c>
      <c r="I110" s="2" t="inlineStr">
        <is>
          <t>Limited</t>
        </is>
      </c>
      <c r="J110" s="2" t="inlineStr">
        <is>
          <t>L</t>
        </is>
      </c>
      <c r="K110" s="2" t="inlineStr">
        <is>
          <t>Very small; conflict-affected.</t>
        </is>
      </c>
    </row>
    <row r="111" ht="23.25" customHeight="1" s="26">
      <c r="A111" s="2" t="inlineStr">
        <is>
          <t>Liberia</t>
        </is>
      </c>
      <c r="B111" s="2" t="inlineStr">
        <is>
          <t>National Social Security and Welfare Corporation (NASSCORP)</t>
        </is>
      </c>
      <c r="C111" s="2" t="inlineStr">
        <is>
          <t>Mandatory</t>
        </is>
      </c>
      <c r="D111" s="2" t="n">
        <v>1975</v>
      </c>
      <c r="E111" s="2" t="n">
        <v>100</v>
      </c>
      <c r="F111" s="2" t="n">
        <v>2023</v>
      </c>
      <c r="G111" s="2" t="inlineStr">
        <is>
          <t>USD/LRD</t>
        </is>
      </c>
      <c r="H111" s="2" t="inlineStr">
        <is>
          <t>Min. Labour</t>
        </is>
      </c>
      <c r="I111" s="2" t="inlineStr">
        <is>
          <t>Limited</t>
        </is>
      </c>
      <c r="J111" s="2" t="inlineStr">
        <is>
          <t>L</t>
        </is>
      </c>
      <c r="K111" s="2" t="n"/>
    </row>
    <row r="112" ht="15" customHeight="1" s="26">
      <c r="A112" s="2" t="inlineStr">
        <is>
          <t>Sierra Leone</t>
        </is>
      </c>
      <c r="B112" s="2" t="inlineStr">
        <is>
          <t>National Social Security and Insurance Trust (NASSIT)</t>
        </is>
      </c>
      <c r="C112" s="2" t="inlineStr">
        <is>
          <t>Mandatory</t>
        </is>
      </c>
      <c r="D112" s="2" t="n">
        <v>2001</v>
      </c>
      <c r="E112" s="2" t="n">
        <v>200</v>
      </c>
      <c r="F112" s="2" t="n">
        <v>2023</v>
      </c>
      <c r="G112" s="2" t="inlineStr">
        <is>
          <t>SLE</t>
        </is>
      </c>
      <c r="H112" s="2" t="inlineStr">
        <is>
          <t>Min. Labour</t>
        </is>
      </c>
      <c r="I112" s="2" t="inlineStr">
        <is>
          <t>Limited</t>
        </is>
      </c>
      <c r="J112" s="2" t="inlineStr">
        <is>
          <t>M</t>
        </is>
      </c>
      <c r="K112" s="2" t="n"/>
    </row>
    <row r="113" ht="15" customHeight="1" s="26">
      <c r="A113" s="2" t="inlineStr">
        <is>
          <t>The Gambia</t>
        </is>
      </c>
      <c r="B113" s="2" t="inlineStr">
        <is>
          <t>Social Security and Housing Finance Corporation (SSHFC)</t>
        </is>
      </c>
      <c r="C113" s="2" t="inlineStr">
        <is>
          <t>Mandatory + housing</t>
        </is>
      </c>
      <c r="D113" s="2" t="n">
        <v>1981</v>
      </c>
      <c r="E113" s="2" t="n">
        <v>150</v>
      </c>
      <c r="F113" s="2" t="n">
        <v>2023</v>
      </c>
      <c r="G113" s="2" t="inlineStr">
        <is>
          <t>GMD</t>
        </is>
      </c>
      <c r="H113" s="2" t="inlineStr">
        <is>
          <t>Min. Finance</t>
        </is>
      </c>
      <c r="I113" s="2" t="inlineStr">
        <is>
          <t>Yes</t>
        </is>
      </c>
      <c r="J113" s="2" t="inlineStr">
        <is>
          <t>M</t>
        </is>
      </c>
      <c r="K113" s="2" t="n"/>
    </row>
    <row r="114" ht="23.25" customHeight="1" s="26">
      <c r="A114" s="2" t="inlineStr">
        <is>
          <t>Cabo Verde</t>
        </is>
      </c>
      <c r="B114" s="2" t="inlineStr">
        <is>
          <t>Instituto Nacional de Previdência Social (INPS Cabo Verde)</t>
        </is>
      </c>
      <c r="C114" s="2" t="inlineStr">
        <is>
          <t>Mandatory</t>
        </is>
      </c>
      <c r="D114" s="2" t="n">
        <v>1991</v>
      </c>
      <c r="E114" s="2" t="n">
        <v>350</v>
      </c>
      <c r="F114" s="2" t="n">
        <v>2023</v>
      </c>
      <c r="G114" s="2" t="inlineStr">
        <is>
          <t>CVE</t>
        </is>
      </c>
      <c r="H114" s="2" t="inlineStr">
        <is>
          <t>Min. Finance</t>
        </is>
      </c>
      <c r="I114" s="2" t="inlineStr">
        <is>
          <t>Limited</t>
        </is>
      </c>
      <c r="J114" s="2" t="inlineStr">
        <is>
          <t>M</t>
        </is>
      </c>
      <c r="K114" s="2" t="n"/>
    </row>
    <row r="115" ht="15" customHeight="1" s="26">
      <c r="A115" s="2" t="inlineStr">
        <is>
          <t>Comoros</t>
        </is>
      </c>
      <c r="B115" s="2" t="inlineStr">
        <is>
          <t>Caisse Nationale de Solidarité et de Prévoyance Sociale</t>
        </is>
      </c>
      <c r="C115" s="2" t="inlineStr">
        <is>
          <t>Mandatory</t>
        </is>
      </c>
      <c r="D115" s="2" t="n">
        <v>2012</v>
      </c>
      <c r="E115" s="2" t="n">
        <v>30</v>
      </c>
      <c r="F115" s="2" t="n">
        <v>2022</v>
      </c>
      <c r="G115" s="2" t="inlineStr">
        <is>
          <t>KMF</t>
        </is>
      </c>
      <c r="H115" s="2" t="inlineStr">
        <is>
          <t>Min. Finance</t>
        </is>
      </c>
      <c r="I115" s="2" t="inlineStr">
        <is>
          <t>Limited</t>
        </is>
      </c>
      <c r="J115" s="2" t="inlineStr">
        <is>
          <t>L</t>
        </is>
      </c>
      <c r="K115" s="2" t="inlineStr">
        <is>
          <t>Very small.</t>
        </is>
      </c>
    </row>
    <row r="116" ht="15" customHeight="1" s="26">
      <c r="A116" s="2" t="inlineStr">
        <is>
          <t>Djibouti</t>
        </is>
      </c>
      <c r="B116" s="2" t="inlineStr">
        <is>
          <t>Caisse Nationale de Sécurité Sociale (CNSS Djibouti)</t>
        </is>
      </c>
      <c r="C116" s="2" t="inlineStr">
        <is>
          <t>Mandatory</t>
        </is>
      </c>
      <c r="D116" s="2" t="n">
        <v>1968</v>
      </c>
      <c r="E116" s="2" t="n">
        <v>250</v>
      </c>
      <c r="F116" s="2" t="n">
        <v>2023</v>
      </c>
      <c r="G116" s="2" t="inlineStr">
        <is>
          <t>DJF</t>
        </is>
      </c>
      <c r="H116" s="2" t="inlineStr">
        <is>
          <t>Min. Labour</t>
        </is>
      </c>
      <c r="I116" s="2" t="inlineStr">
        <is>
          <t>Limited</t>
        </is>
      </c>
      <c r="J116" s="2" t="inlineStr">
        <is>
          <t>M</t>
        </is>
      </c>
      <c r="K116" s="2" t="n"/>
    </row>
    <row r="117" ht="15" customHeight="1" s="26">
      <c r="A117" s="2" t="inlineStr">
        <is>
          <t>Eritrea</t>
        </is>
      </c>
      <c r="B117" s="2" t="inlineStr">
        <is>
          <t>Pension Fund of Eritrea</t>
        </is>
      </c>
      <c r="C117" s="2" t="inlineStr">
        <is>
          <t>Civil service</t>
        </is>
      </c>
      <c r="D117" s="2" t="inlineStr">
        <is>
          <t>various</t>
        </is>
      </c>
      <c r="E117" s="2" t="n">
        <v>100</v>
      </c>
      <c r="F117" s="2" t="inlineStr">
        <is>
          <t>approx</t>
        </is>
      </c>
      <c r="G117" s="2" t="inlineStr">
        <is>
          <t>ERN</t>
        </is>
      </c>
      <c r="H117" s="2" t="inlineStr">
        <is>
          <t>Min. Finance</t>
        </is>
      </c>
      <c r="I117" s="2" t="inlineStr">
        <is>
          <t>Very limited</t>
        </is>
      </c>
      <c r="J117" s="2" t="inlineStr">
        <is>
          <t>L</t>
        </is>
      </c>
      <c r="K117" s="2" t="inlineStr">
        <is>
          <t>Minimal disclosure.</t>
        </is>
      </c>
    </row>
    <row r="118" ht="15" customHeight="1" s="26">
      <c r="A118" s="2" t="inlineStr">
        <is>
          <t>Seychelles</t>
        </is>
      </c>
      <c r="B118" s="2" t="inlineStr">
        <is>
          <t>Seychelles Pension Fund (SPF)</t>
        </is>
      </c>
      <c r="C118" s="2" t="inlineStr">
        <is>
          <t>Mandatory</t>
        </is>
      </c>
      <c r="D118" s="2" t="n">
        <v>2005</v>
      </c>
      <c r="E118" s="2" t="n">
        <v>350</v>
      </c>
      <c r="F118" s="2" t="n">
        <v>2024</v>
      </c>
      <c r="G118" s="2" t="inlineStr">
        <is>
          <t>SCR</t>
        </is>
      </c>
      <c r="H118" s="2" t="inlineStr">
        <is>
          <t>FSA</t>
        </is>
      </c>
      <c r="I118" s="2" t="inlineStr">
        <is>
          <t>Yes</t>
        </is>
      </c>
      <c r="J118" s="2" t="inlineStr">
        <is>
          <t>M</t>
        </is>
      </c>
      <c r="K118" s="2" t="n"/>
    </row>
    <row r="119" ht="15" customHeight="1" s="26">
      <c r="A119" s="2" t="inlineStr">
        <is>
          <t>South Sudan</t>
        </is>
      </c>
      <c r="B119" s="2" t="inlineStr">
        <is>
          <t>National Pension Fund (proposed)</t>
        </is>
      </c>
      <c r="C119" s="2" t="inlineStr">
        <is>
          <t>Public</t>
        </is>
      </c>
      <c r="D119" s="2" t="inlineStr">
        <is>
          <t>TBD</t>
        </is>
      </c>
      <c r="E119" s="2" t="n">
        <v>0</v>
      </c>
      <c r="F119" s="2" t="inlineStr">
        <is>
          <t>n/a</t>
        </is>
      </c>
      <c r="G119" s="2" t="inlineStr">
        <is>
          <t>n/a</t>
        </is>
      </c>
      <c r="H119" s="2" t="inlineStr">
        <is>
          <t>Min. Labour</t>
        </is>
      </c>
      <c r="I119" s="2" t="inlineStr">
        <is>
          <t>n/a</t>
        </is>
      </c>
      <c r="J119" s="2" t="inlineStr">
        <is>
          <t>L</t>
        </is>
      </c>
      <c r="K119" s="2" t="inlineStr">
        <is>
          <t>Not operational.</t>
        </is>
      </c>
    </row>
    <row r="120" ht="15" customHeight="1" s="26">
      <c r="A120" s="2" t="inlineStr">
        <is>
          <t>Sudan</t>
        </is>
      </c>
      <c r="B120" s="2" t="inlineStr">
        <is>
          <t>National Social Insurance Fund (NSIF Sudan)</t>
        </is>
      </c>
      <c r="C120" s="2" t="inlineStr">
        <is>
          <t>Mandatory</t>
        </is>
      </c>
      <c r="D120" s="2" t="n">
        <v>1974</v>
      </c>
      <c r="E120" s="2" t="n">
        <v>500</v>
      </c>
      <c r="F120" s="2" t="n">
        <v>2023</v>
      </c>
      <c r="G120" s="2" t="inlineStr">
        <is>
          <t>SDG</t>
        </is>
      </c>
      <c r="H120" s="2" t="inlineStr">
        <is>
          <t>Min. Social Welfare</t>
        </is>
      </c>
      <c r="I120" s="2" t="inlineStr">
        <is>
          <t>Limited</t>
        </is>
      </c>
      <c r="J120" s="2" t="inlineStr">
        <is>
          <t>L</t>
        </is>
      </c>
      <c r="K120" s="2" t="inlineStr">
        <is>
          <t>Hyperinflation/conflict distort figures.</t>
        </is>
      </c>
    </row>
    <row r="121" ht="15" customHeight="1" s="26">
      <c r="A121" s="2" t="inlineStr">
        <is>
          <t>Somalia</t>
        </is>
      </c>
      <c r="B121" s="2" t="inlineStr">
        <is>
          <t>—</t>
        </is>
      </c>
      <c r="C121" s="2" t="inlineStr">
        <is>
          <t>n/a</t>
        </is>
      </c>
      <c r="D121" s="2" t="inlineStr">
        <is>
          <t>n/a</t>
        </is>
      </c>
      <c r="E121" s="2" t="n">
        <v>0</v>
      </c>
      <c r="F121" s="2" t="inlineStr">
        <is>
          <t>n/a</t>
        </is>
      </c>
      <c r="G121" s="2" t="inlineStr">
        <is>
          <t>n/a</t>
        </is>
      </c>
      <c r="H121" s="2" t="inlineStr">
        <is>
          <t>n/a</t>
        </is>
      </c>
      <c r="I121" s="2" t="inlineStr">
        <is>
          <t>n/a</t>
        </is>
      </c>
      <c r="J121" s="2" t="inlineStr">
        <is>
          <t>L</t>
        </is>
      </c>
      <c r="K121" s="2" t="inlineStr">
        <is>
          <t>No functioning national pension.</t>
        </is>
      </c>
    </row>
    <row r="122" ht="23.25" customHeight="1" s="26">
      <c r="A122" s="2" t="inlineStr">
        <is>
          <t>Burundi</t>
        </is>
      </c>
      <c r="B122" s="2" t="inlineStr">
        <is>
          <t>Office National des Pensions et Risques Professionnels (ONPR)</t>
        </is>
      </c>
      <c r="C122" s="2" t="inlineStr">
        <is>
          <t>Mandatory</t>
        </is>
      </c>
      <c r="D122" s="2" t="n">
        <v>2010</v>
      </c>
      <c r="E122" s="2" t="n">
        <v>80</v>
      </c>
      <c r="F122" s="2" t="n">
        <v>2023</v>
      </c>
      <c r="G122" s="2" t="inlineStr">
        <is>
          <t>BIF</t>
        </is>
      </c>
      <c r="H122" s="2" t="inlineStr">
        <is>
          <t>Min. Civil Service</t>
        </is>
      </c>
      <c r="I122" s="2" t="inlineStr">
        <is>
          <t>Limited</t>
        </is>
      </c>
      <c r="J122" s="2" t="inlineStr">
        <is>
          <t>L</t>
        </is>
      </c>
      <c r="K122" s="2" t="n"/>
    </row>
    <row r="123" ht="15" customHeight="1" s="26">
      <c r="A123" s="2" t="inlineStr">
        <is>
          <t>Mauritania</t>
        </is>
      </c>
      <c r="B123" s="2" t="inlineStr">
        <is>
          <t>Caisse Nationale de Sécurité Sociale (CNSS Mauritania)</t>
        </is>
      </c>
      <c r="C123" s="2" t="inlineStr">
        <is>
          <t>Mandatory</t>
        </is>
      </c>
      <c r="D123" s="2" t="n">
        <v>1967</v>
      </c>
      <c r="E123" s="2" t="n">
        <v>250</v>
      </c>
      <c r="F123" s="2" t="n">
        <v>2023</v>
      </c>
      <c r="G123" s="2" t="inlineStr">
        <is>
          <t>MRU</t>
        </is>
      </c>
      <c r="H123" s="2" t="inlineStr">
        <is>
          <t>Min. Civil Service</t>
        </is>
      </c>
      <c r="I123" s="2" t="inlineStr">
        <is>
          <t>Limited</t>
        </is>
      </c>
      <c r="J123" s="2" t="inlineStr">
        <is>
          <t>L</t>
        </is>
      </c>
      <c r="K123" s="2" t="n"/>
    </row>
    <row r="124" ht="15" customHeight="1" s="26">
      <c r="A124" s="2" t="inlineStr">
        <is>
          <t>Chad</t>
        </is>
      </c>
      <c r="B124" s="2" t="inlineStr">
        <is>
          <t>Caisse Nationale de Prévoyance Sociale (CNPS Chad)</t>
        </is>
      </c>
      <c r="C124" s="2" t="inlineStr">
        <is>
          <t>Mandatory</t>
        </is>
      </c>
      <c r="D124" s="2" t="n">
        <v>1977</v>
      </c>
      <c r="E124" s="2" t="n">
        <v>150</v>
      </c>
      <c r="F124" s="2" t="n">
        <v>2023</v>
      </c>
      <c r="G124" s="2" t="inlineStr">
        <is>
          <t>XAF</t>
        </is>
      </c>
      <c r="H124" s="2" t="inlineStr">
        <is>
          <t>CIPRES</t>
        </is>
      </c>
      <c r="I124" s="2" t="inlineStr">
        <is>
          <t>Limited</t>
        </is>
      </c>
      <c r="J124" s="2" t="inlineStr">
        <is>
          <t>L</t>
        </is>
      </c>
      <c r="K124" s="2" t="n"/>
    </row>
    <row r="125" ht="23.25" customHeight="1" s="26">
      <c r="A125" s="2" t="inlineStr">
        <is>
          <t>São Tomé and Príncipe</t>
        </is>
      </c>
      <c r="B125" s="2" t="inlineStr">
        <is>
          <t>Instituto Nacional de Segurança Social (INSS STP)</t>
        </is>
      </c>
      <c r="C125" s="2" t="inlineStr">
        <is>
          <t>Mandatory</t>
        </is>
      </c>
      <c r="D125" s="2" t="n">
        <v>1979</v>
      </c>
      <c r="E125" s="2" t="n">
        <v>30</v>
      </c>
      <c r="F125" s="2" t="n">
        <v>2022</v>
      </c>
      <c r="G125" s="2" t="inlineStr">
        <is>
          <t>STN</t>
        </is>
      </c>
      <c r="H125" s="2" t="inlineStr">
        <is>
          <t>Min. Finance</t>
        </is>
      </c>
      <c r="I125" s="2" t="inlineStr">
        <is>
          <t>Limited</t>
        </is>
      </c>
      <c r="J125" s="2" t="inlineStr">
        <is>
          <t>L</t>
        </is>
      </c>
      <c r="K125" s="2" t="inlineStr">
        <is>
          <t>Very small.</t>
        </is>
      </c>
    </row>
    <row r="126" ht="15" customHeight="1" s="26">
      <c r="A126" s="2" t="inlineStr">
        <is>
          <t>Equatorial Guinea</t>
        </is>
      </c>
      <c r="B126" s="2" t="inlineStr">
        <is>
          <t>Instituto de Seguridad Social (INSESO)</t>
        </is>
      </c>
      <c r="C126" s="2" t="inlineStr">
        <is>
          <t>Mandatory</t>
        </is>
      </c>
      <c r="D126" s="2" t="n">
        <v>1990</v>
      </c>
      <c r="E126" s="2" t="n">
        <v>200</v>
      </c>
      <c r="F126" s="2" t="n">
        <v>2023</v>
      </c>
      <c r="G126" s="2" t="inlineStr">
        <is>
          <t>XAF</t>
        </is>
      </c>
      <c r="H126" s="2" t="inlineStr">
        <is>
          <t>Min. Labour</t>
        </is>
      </c>
      <c r="I126" s="2" t="inlineStr">
        <is>
          <t>Limited</t>
        </is>
      </c>
      <c r="J126" s="2" t="inlineStr">
        <is>
          <t>L</t>
        </is>
      </c>
      <c r="K126" s="2" t="inlineStr">
        <is>
          <t>Limited disclosure.</t>
        </is>
      </c>
    </row>
    <row r="127" ht="15" customHeight="1" s="26">
      <c r="A127" s="2" t="inlineStr">
        <is>
          <t>South Africa</t>
        </is>
      </c>
      <c r="B127" s="2" t="inlineStr">
        <is>
          <t>Metal Industries Provident Fund (MIPF, NUMSA-aligned)</t>
        </is>
      </c>
      <c r="C127" s="2" t="inlineStr">
        <is>
          <t>Multi-employer (metal industry)</t>
        </is>
      </c>
      <c r="D127" s="2" t="n">
        <v>1984</v>
      </c>
      <c r="E127" s="2" t="n">
        <v>2500</v>
      </c>
      <c r="F127" s="2" t="n">
        <v>2023</v>
      </c>
      <c r="G127" s="2" t="inlineStr">
        <is>
          <t>ZAR</t>
        </is>
      </c>
      <c r="H127" s="2" t="inlineStr">
        <is>
          <t>FSCA</t>
        </is>
      </c>
      <c r="I127" s="2" t="inlineStr">
        <is>
          <t>Yes</t>
        </is>
      </c>
      <c r="J127" s="2" t="inlineStr">
        <is>
          <t>M</t>
        </is>
      </c>
      <c r="K127" s="2" t="inlineStr">
        <is>
          <t>Large industry fund; uses alts mandate managers.</t>
        </is>
      </c>
    </row>
    <row r="128" ht="15" customHeight="1" s="26">
      <c r="A128" s="2" t="inlineStr">
        <is>
          <t>South Africa</t>
        </is>
      </c>
      <c r="B128" s="2" t="inlineStr">
        <is>
          <t>Engineering Industries Pension Fund (EIPF)</t>
        </is>
      </c>
      <c r="C128" s="2" t="inlineStr">
        <is>
          <t>Multi-employer (engineering)</t>
        </is>
      </c>
      <c r="D128" s="2" t="n">
        <v>1956</v>
      </c>
      <c r="E128" s="2" t="n">
        <v>1500</v>
      </c>
      <c r="F128" s="2" t="n">
        <v>2023</v>
      </c>
      <c r="G128" s="2" t="inlineStr">
        <is>
          <t>ZAR</t>
        </is>
      </c>
      <c r="H128" s="2" t="inlineStr">
        <is>
          <t>FSCA</t>
        </is>
      </c>
      <c r="I128" s="2" t="inlineStr">
        <is>
          <t>Yes</t>
        </is>
      </c>
      <c r="J128" s="2" t="inlineStr">
        <is>
          <t>M</t>
        </is>
      </c>
      <c r="K128" s="2" t="inlineStr">
        <is>
          <t>Industry scheme under MEIBC.</t>
        </is>
      </c>
    </row>
    <row r="129" ht="15" customHeight="1" s="26">
      <c r="A129" s="2" t="inlineStr">
        <is>
          <t>South Africa</t>
        </is>
      </c>
      <c r="B129" s="2" t="inlineStr">
        <is>
          <t>Chemical Industries National Provident Fund (CINPF)</t>
        </is>
      </c>
      <c r="C129" s="2" t="inlineStr">
        <is>
          <t>Multi-employer (chemicals)</t>
        </is>
      </c>
      <c r="D129" s="2" t="n">
        <v>1989</v>
      </c>
      <c r="E129" s="2" t="n">
        <v>1500</v>
      </c>
      <c r="F129" s="2" t="n">
        <v>2023</v>
      </c>
      <c r="G129" s="2" t="inlineStr">
        <is>
          <t>ZAR</t>
        </is>
      </c>
      <c r="H129" s="2" t="inlineStr">
        <is>
          <t>FSCA</t>
        </is>
      </c>
      <c r="I129" s="2" t="inlineStr">
        <is>
          <t>Yes</t>
        </is>
      </c>
      <c r="J129" s="2" t="inlineStr">
        <is>
          <t>M</t>
        </is>
      </c>
      <c r="K129" s="2" t="inlineStr">
        <is>
          <t>Industry scheme.</t>
        </is>
      </c>
    </row>
    <row r="130" ht="23.25" customHeight="1" s="26">
      <c r="A130" s="2" t="inlineStr">
        <is>
          <t>South Africa</t>
        </is>
      </c>
      <c r="B130" s="2" t="inlineStr">
        <is>
          <t>South African Clothing and Textile Workers' Union (SACTWU) Pension Funds</t>
        </is>
      </c>
      <c r="C130" s="2" t="inlineStr">
        <is>
          <t>Multi-employer (clothing/textile)</t>
        </is>
      </c>
      <c r="D130" s="2" t="inlineStr">
        <is>
          <t>various</t>
        </is>
      </c>
      <c r="E130" s="2" t="n">
        <v>800</v>
      </c>
      <c r="F130" s="2" t="n">
        <v>2023</v>
      </c>
      <c r="G130" s="2" t="inlineStr">
        <is>
          <t>ZAR</t>
        </is>
      </c>
      <c r="H130" s="2" t="inlineStr">
        <is>
          <t>FSCA</t>
        </is>
      </c>
      <c r="I130" s="2" t="inlineStr">
        <is>
          <t>Yes</t>
        </is>
      </c>
      <c r="J130" s="2" t="inlineStr">
        <is>
          <t>L</t>
        </is>
      </c>
      <c r="K130" s="2" t="inlineStr">
        <is>
          <t>AUM TBC; multiple related funds under SACTWU.</t>
        </is>
      </c>
    </row>
    <row r="131" ht="15" customHeight="1" s="26">
      <c r="A131" s="2" t="inlineStr">
        <is>
          <t>South Africa</t>
        </is>
      </c>
      <c r="B131" s="2" t="inlineStr">
        <is>
          <t>Furniture Bargaining Council Pension Fund</t>
        </is>
      </c>
      <c r="C131" s="2" t="inlineStr">
        <is>
          <t>Multi-employer</t>
        </is>
      </c>
      <c r="D131" s="2" t="n">
        <v>1959</v>
      </c>
      <c r="E131" s="2" t="n">
        <v>600</v>
      </c>
      <c r="F131" s="2" t="n">
        <v>2023</v>
      </c>
      <c r="G131" s="2" t="inlineStr">
        <is>
          <t>ZAR</t>
        </is>
      </c>
      <c r="H131" s="2" t="inlineStr">
        <is>
          <t>FSCA</t>
        </is>
      </c>
      <c r="I131" s="2" t="inlineStr">
        <is>
          <t>Yes</t>
        </is>
      </c>
      <c r="J131" s="2" t="inlineStr">
        <is>
          <t>L</t>
        </is>
      </c>
      <c r="K131" s="2" t="inlineStr">
        <is>
          <t>Industry scheme; AUM TBC.</t>
        </is>
      </c>
    </row>
    <row r="132" ht="15" customHeight="1" s="26">
      <c r="A132" s="2" t="inlineStr">
        <is>
          <t>South Africa</t>
        </is>
      </c>
      <c r="B132" s="2" t="inlineStr">
        <is>
          <t>South African Local Authorities Pension Fund (SALA)</t>
        </is>
      </c>
      <c r="C132" s="2" t="inlineStr">
        <is>
          <t>Public sector (local gov't)</t>
        </is>
      </c>
      <c r="D132" s="2" t="n">
        <v>1944</v>
      </c>
      <c r="E132" s="2" t="n">
        <v>700</v>
      </c>
      <c r="F132" s="2" t="n">
        <v>2023</v>
      </c>
      <c r="G132" s="2" t="inlineStr">
        <is>
          <t>ZAR</t>
        </is>
      </c>
      <c r="H132" s="2" t="inlineStr">
        <is>
          <t>FSCA</t>
        </is>
      </c>
      <c r="I132" s="2" t="inlineStr">
        <is>
          <t>Yes</t>
        </is>
      </c>
      <c r="J132" s="2" t="inlineStr">
        <is>
          <t>M</t>
        </is>
      </c>
      <c r="K132" s="2" t="inlineStr">
        <is>
          <t>Local government scheme.</t>
        </is>
      </c>
    </row>
    <row r="133" ht="23.25" customHeight="1" s="26">
      <c r="A133" s="2" t="inlineStr">
        <is>
          <t>South Africa</t>
        </is>
      </c>
      <c r="B133" s="2" t="inlineStr">
        <is>
          <t>Cape Joint Pension Fund</t>
        </is>
      </c>
      <c r="C133" s="2" t="inlineStr">
        <is>
          <t>Public sector (Cape municipalities)</t>
        </is>
      </c>
      <c r="D133" s="2" t="n">
        <v>1948</v>
      </c>
      <c r="E133" s="2" t="n">
        <v>600</v>
      </c>
      <c r="F133" s="2" t="n">
        <v>2023</v>
      </c>
      <c r="G133" s="2" t="inlineStr">
        <is>
          <t>ZAR</t>
        </is>
      </c>
      <c r="H133" s="2" t="inlineStr">
        <is>
          <t>FSCA</t>
        </is>
      </c>
      <c r="I133" s="2" t="inlineStr">
        <is>
          <t>Yes</t>
        </is>
      </c>
      <c r="J133" s="2" t="inlineStr">
        <is>
          <t>M</t>
        </is>
      </c>
      <c r="K133" s="2" t="inlineStr">
        <is>
          <t>Western Cape municipal scheme.</t>
        </is>
      </c>
    </row>
    <row r="134" ht="15" customHeight="1" s="26">
      <c r="A134" s="2" t="inlineStr">
        <is>
          <t>South Africa</t>
        </is>
      </c>
      <c r="B134" s="2" t="inlineStr">
        <is>
          <t>KwaZulu-Natal Joint Municipal Pension Fund (KZN JMPF)</t>
        </is>
      </c>
      <c r="C134" s="2" t="inlineStr">
        <is>
          <t>Public sector (KZN municipalities)</t>
        </is>
      </c>
      <c r="D134" s="2" t="n">
        <v>1944</v>
      </c>
      <c r="E134" s="2" t="n">
        <v>500</v>
      </c>
      <c r="F134" s="2" t="n">
        <v>2023</v>
      </c>
      <c r="G134" s="2" t="inlineStr">
        <is>
          <t>ZAR</t>
        </is>
      </c>
      <c r="H134" s="2" t="inlineStr">
        <is>
          <t>FSCA</t>
        </is>
      </c>
      <c r="I134" s="2" t="inlineStr">
        <is>
          <t>Yes</t>
        </is>
      </c>
      <c r="J134" s="2" t="inlineStr">
        <is>
          <t>L</t>
        </is>
      </c>
      <c r="K134" s="2" t="inlineStr">
        <is>
          <t>Provincial municipal scheme; AUM TBC.</t>
        </is>
      </c>
    </row>
    <row r="135" ht="15" customHeight="1" s="26">
      <c r="A135" s="2" t="inlineStr">
        <is>
          <t>South Africa</t>
        </is>
      </c>
      <c r="B135" s="2" t="inlineStr">
        <is>
          <t>Free State Municipal Pension Fund</t>
        </is>
      </c>
      <c r="C135" s="2" t="inlineStr">
        <is>
          <t>Public sector (local gov't)</t>
        </is>
      </c>
      <c r="D135" s="2" t="inlineStr">
        <is>
          <t>various</t>
        </is>
      </c>
      <c r="E135" s="2" t="n">
        <v>300</v>
      </c>
      <c r="F135" s="2" t="n">
        <v>2023</v>
      </c>
      <c r="G135" s="2" t="inlineStr">
        <is>
          <t>ZAR</t>
        </is>
      </c>
      <c r="H135" s="2" t="inlineStr">
        <is>
          <t>FSCA</t>
        </is>
      </c>
      <c r="I135" s="2" t="inlineStr">
        <is>
          <t>Yes</t>
        </is>
      </c>
      <c r="J135" s="2" t="inlineStr">
        <is>
          <t>L</t>
        </is>
      </c>
      <c r="K135" s="2" t="inlineStr">
        <is>
          <t>AUM TBC.</t>
        </is>
      </c>
    </row>
    <row r="136" ht="15" customHeight="1" s="26">
      <c r="A136" s="2" t="inlineStr">
        <is>
          <t>South Africa</t>
        </is>
      </c>
      <c r="B136" s="2" t="inlineStr">
        <is>
          <t>Momentum FundsAtWork Umbrella</t>
        </is>
      </c>
      <c r="C136" s="2" t="inlineStr">
        <is>
          <t>Umbrella DC</t>
        </is>
      </c>
      <c r="D136" s="2" t="n">
        <v>2005</v>
      </c>
      <c r="E136" s="2" t="n">
        <v>4500</v>
      </c>
      <c r="F136" s="2" t="n">
        <v>2024</v>
      </c>
      <c r="G136" s="2" t="inlineStr">
        <is>
          <t>ZAR</t>
        </is>
      </c>
      <c r="H136" s="2" t="inlineStr">
        <is>
          <t>FSCA</t>
        </is>
      </c>
      <c r="I136" s="2" t="inlineStr">
        <is>
          <t>Yes</t>
        </is>
      </c>
      <c r="J136" s="2" t="inlineStr">
        <is>
          <t>M</t>
        </is>
      </c>
      <c r="K136" s="2" t="inlineStr">
        <is>
          <t>Third-largest umbrella in SA after Sanlam and Old Mutual.</t>
        </is>
      </c>
    </row>
    <row r="137" ht="15" customHeight="1" s="26">
      <c r="A137" s="2" t="inlineStr">
        <is>
          <t>South Africa</t>
        </is>
      </c>
      <c r="B137" s="2" t="inlineStr">
        <is>
          <t>Liberty Corporate Umbrella</t>
        </is>
      </c>
      <c r="C137" s="2" t="inlineStr">
        <is>
          <t>Umbrella DC</t>
        </is>
      </c>
      <c r="D137" s="2" t="n">
        <v>2007</v>
      </c>
      <c r="E137" s="2" t="n">
        <v>3500</v>
      </c>
      <c r="F137" s="2" t="n">
        <v>2024</v>
      </c>
      <c r="G137" s="2" t="inlineStr">
        <is>
          <t>ZAR</t>
        </is>
      </c>
      <c r="H137" s="2" t="inlineStr">
        <is>
          <t>FSCA</t>
        </is>
      </c>
      <c r="I137" s="2" t="inlineStr">
        <is>
          <t>Yes</t>
        </is>
      </c>
      <c r="J137" s="2" t="inlineStr">
        <is>
          <t>M</t>
        </is>
      </c>
      <c r="K137" s="2" t="inlineStr">
        <is>
          <t>Standard Bank-affiliated umbrella.</t>
        </is>
      </c>
    </row>
    <row r="138" ht="15" customHeight="1" s="26">
      <c r="A138" s="2" t="inlineStr">
        <is>
          <t>South Africa</t>
        </is>
      </c>
      <c r="B138" s="2" t="inlineStr">
        <is>
          <t>Discovery Life Umbrella Pension Fund</t>
        </is>
      </c>
      <c r="C138" s="2" t="inlineStr">
        <is>
          <t>Umbrella DC</t>
        </is>
      </c>
      <c r="D138" s="2" t="n">
        <v>2017</v>
      </c>
      <c r="E138" s="2" t="n">
        <v>1500</v>
      </c>
      <c r="F138" s="2" t="n">
        <v>2024</v>
      </c>
      <c r="G138" s="2" t="inlineStr">
        <is>
          <t>ZAR</t>
        </is>
      </c>
      <c r="H138" s="2" t="inlineStr">
        <is>
          <t>FSCA</t>
        </is>
      </c>
      <c r="I138" s="2" t="inlineStr">
        <is>
          <t>Yes</t>
        </is>
      </c>
      <c r="J138" s="2" t="inlineStr">
        <is>
          <t>L</t>
        </is>
      </c>
      <c r="K138" s="2" t="inlineStr">
        <is>
          <t>Newer umbrella; AUM approximate.</t>
        </is>
      </c>
    </row>
    <row r="139" ht="15" customHeight="1" s="26">
      <c r="A139" s="2" t="inlineStr">
        <is>
          <t>South Africa</t>
        </is>
      </c>
      <c r="B139" s="2" t="inlineStr">
        <is>
          <t>Telkom Pension Fund (legacy DB)</t>
        </is>
      </c>
      <c r="C139" s="2" t="inlineStr">
        <is>
          <t>Corporate (parastatal)</t>
        </is>
      </c>
      <c r="D139" s="2" t="n">
        <v>1992</v>
      </c>
      <c r="E139" s="2" t="n">
        <v>1000</v>
      </c>
      <c r="F139" s="2" t="n">
        <v>2023</v>
      </c>
      <c r="G139" s="2" t="inlineStr">
        <is>
          <t>ZAR</t>
        </is>
      </c>
      <c r="H139" s="2" t="inlineStr">
        <is>
          <t>FSCA</t>
        </is>
      </c>
      <c r="I139" s="2" t="inlineStr">
        <is>
          <t>Yes</t>
        </is>
      </c>
      <c r="J139" s="2" t="inlineStr">
        <is>
          <t>L</t>
        </is>
      </c>
      <c r="K139" s="2" t="inlineStr">
        <is>
          <t>Legacy DB scheme separate from Telkom Retirement Fund.</t>
        </is>
      </c>
    </row>
    <row r="140" ht="23.25" customHeight="1" s="26">
      <c r="A140" s="2" t="inlineStr">
        <is>
          <t>South Africa</t>
        </is>
      </c>
      <c r="B140" s="2" t="inlineStr">
        <is>
          <t>Post Office Pension Fund</t>
        </is>
      </c>
      <c r="C140" s="2" t="inlineStr">
        <is>
          <t>Parastatal</t>
        </is>
      </c>
      <c r="D140" s="2" t="inlineStr">
        <is>
          <t>various</t>
        </is>
      </c>
      <c r="E140" s="2" t="n">
        <v>700</v>
      </c>
      <c r="F140" s="2" t="n">
        <v>2023</v>
      </c>
      <c r="G140" s="2" t="inlineStr">
        <is>
          <t>ZAR</t>
        </is>
      </c>
      <c r="H140" s="2" t="inlineStr">
        <is>
          <t>FSCA</t>
        </is>
      </c>
      <c r="I140" s="2" t="inlineStr">
        <is>
          <t>Yes</t>
        </is>
      </c>
      <c r="J140" s="2" t="inlineStr">
        <is>
          <t>L</t>
        </is>
      </c>
      <c r="K140" s="2" t="inlineStr">
        <is>
          <t>SA Post Office scheme; AUM TBC and complicated by Post Office distress.</t>
        </is>
      </c>
    </row>
    <row r="141" ht="15" customHeight="1" s="26">
      <c r="A141" s="2" t="inlineStr">
        <is>
          <t>South Africa</t>
        </is>
      </c>
      <c r="B141" s="2" t="inlineStr">
        <is>
          <t>Tongaat Hulett Pension Fund</t>
        </is>
      </c>
      <c r="C141" s="2" t="inlineStr">
        <is>
          <t>Corporate (in workout)</t>
        </is>
      </c>
      <c r="D141" s="2" t="inlineStr">
        <is>
          <t>—</t>
        </is>
      </c>
      <c r="E141" s="2" t="n">
        <v>400</v>
      </c>
      <c r="F141" s="2" t="n">
        <v>2023</v>
      </c>
      <c r="G141" s="2" t="inlineStr">
        <is>
          <t>ZAR</t>
        </is>
      </c>
      <c r="H141" s="2" t="inlineStr">
        <is>
          <t>FSCA</t>
        </is>
      </c>
      <c r="I141" s="2" t="inlineStr">
        <is>
          <t>Yes</t>
        </is>
      </c>
      <c r="J141" s="2" t="inlineStr">
        <is>
          <t>L</t>
        </is>
      </c>
      <c r="K141" s="2" t="inlineStr">
        <is>
          <t>Subject to ongoing business rescue.</t>
        </is>
      </c>
    </row>
    <row r="142" ht="15" customHeight="1" s="26">
      <c r="A142" s="2" t="inlineStr">
        <is>
          <t>Kenya</t>
        </is>
      </c>
      <c r="B142" s="2" t="inlineStr">
        <is>
          <t>KenGen Staff Retirement Benefits Scheme</t>
        </is>
      </c>
      <c r="C142" s="2" t="inlineStr">
        <is>
          <t>Occupational (parastatal)</t>
        </is>
      </c>
      <c r="D142" s="2" t="n">
        <v>1988</v>
      </c>
      <c r="E142" s="2" t="n">
        <v>250</v>
      </c>
      <c r="F142" s="2" t="n">
        <v>2023</v>
      </c>
      <c r="G142" s="2" t="inlineStr">
        <is>
          <t>KES</t>
        </is>
      </c>
      <c r="H142" s="2" t="inlineStr">
        <is>
          <t>RBA</t>
        </is>
      </c>
      <c r="I142" s="2" t="inlineStr">
        <is>
          <t>Yes</t>
        </is>
      </c>
      <c r="J142" s="2" t="inlineStr">
        <is>
          <t>M</t>
        </is>
      </c>
      <c r="K142" s="2" t="inlineStr">
        <is>
          <t>Power-generation parastatal scheme.</t>
        </is>
      </c>
    </row>
    <row r="143" ht="15" customHeight="1" s="26">
      <c r="A143" s="2" t="inlineStr">
        <is>
          <t>Kenya</t>
        </is>
      </c>
      <c r="B143" s="2" t="inlineStr">
        <is>
          <t>Kenya Pipeline Company Staff RBS</t>
        </is>
      </c>
      <c r="C143" s="2" t="inlineStr">
        <is>
          <t>Occupational (parastatal)</t>
        </is>
      </c>
      <c r="D143" s="2" t="inlineStr">
        <is>
          <t>various</t>
        </is>
      </c>
      <c r="E143" s="2" t="n">
        <v>200</v>
      </c>
      <c r="F143" s="2" t="n">
        <v>2023</v>
      </c>
      <c r="G143" s="2" t="inlineStr">
        <is>
          <t>KES</t>
        </is>
      </c>
      <c r="H143" s="2" t="inlineStr">
        <is>
          <t>RBA</t>
        </is>
      </c>
      <c r="I143" s="2" t="inlineStr">
        <is>
          <t>Yes</t>
        </is>
      </c>
      <c r="J143" s="2" t="inlineStr">
        <is>
          <t>M</t>
        </is>
      </c>
      <c r="K143" s="2" t="inlineStr">
        <is>
          <t>Parastatal.</t>
        </is>
      </c>
    </row>
    <row r="144" ht="15" customHeight="1" s="26">
      <c r="A144" s="2" t="inlineStr">
        <is>
          <t>Kenya</t>
        </is>
      </c>
      <c r="B144" s="2" t="inlineStr">
        <is>
          <t>Kenya Ports Authority Pension Scheme</t>
        </is>
      </c>
      <c r="C144" s="2" t="inlineStr">
        <is>
          <t>Occupational (parastatal)</t>
        </is>
      </c>
      <c r="D144" s="2" t="inlineStr">
        <is>
          <t>various</t>
        </is>
      </c>
      <c r="E144" s="2" t="n">
        <v>250</v>
      </c>
      <c r="F144" s="2" t="n">
        <v>2023</v>
      </c>
      <c r="G144" s="2" t="inlineStr">
        <is>
          <t>KES</t>
        </is>
      </c>
      <c r="H144" s="2" t="inlineStr">
        <is>
          <t>RBA</t>
        </is>
      </c>
      <c r="I144" s="2" t="inlineStr">
        <is>
          <t>Yes</t>
        </is>
      </c>
      <c r="J144" s="2" t="inlineStr">
        <is>
          <t>M</t>
        </is>
      </c>
      <c r="K144" s="2" t="inlineStr">
        <is>
          <t>Port-authority scheme.</t>
        </is>
      </c>
    </row>
    <row r="145" ht="15" customHeight="1" s="26">
      <c r="A145" s="2" t="inlineStr">
        <is>
          <t>Kenya</t>
        </is>
      </c>
      <c r="B145" s="2" t="inlineStr">
        <is>
          <t>Kenya Airports Authority Staff RBS</t>
        </is>
      </c>
      <c r="C145" s="2" t="inlineStr">
        <is>
          <t>Occupational (parastatal)</t>
        </is>
      </c>
      <c r="D145" s="2" t="inlineStr">
        <is>
          <t>various</t>
        </is>
      </c>
      <c r="E145" s="2" t="n">
        <v>150</v>
      </c>
      <c r="F145" s="2" t="n">
        <v>2023</v>
      </c>
      <c r="G145" s="2" t="inlineStr">
        <is>
          <t>KES</t>
        </is>
      </c>
      <c r="H145" s="2" t="inlineStr">
        <is>
          <t>RBA</t>
        </is>
      </c>
      <c r="I145" s="2" t="inlineStr">
        <is>
          <t>Yes</t>
        </is>
      </c>
      <c r="J145" s="2" t="inlineStr">
        <is>
          <t>L</t>
        </is>
      </c>
      <c r="K145" s="2" t="inlineStr">
        <is>
          <t>AUM TBC.</t>
        </is>
      </c>
    </row>
    <row r="146" ht="15" customHeight="1" s="26">
      <c r="A146" s="2" t="inlineStr">
        <is>
          <t>Kenya</t>
        </is>
      </c>
      <c r="B146" s="2" t="inlineStr">
        <is>
          <t>University of Nairobi Pension Scheme</t>
        </is>
      </c>
      <c r="C146" s="2" t="inlineStr">
        <is>
          <t>Occupational (academic)</t>
        </is>
      </c>
      <c r="D146" s="2" t="inlineStr">
        <is>
          <t>various</t>
        </is>
      </c>
      <c r="E146" s="2" t="n">
        <v>200</v>
      </c>
      <c r="F146" s="2" t="n">
        <v>2023</v>
      </c>
      <c r="G146" s="2" t="inlineStr">
        <is>
          <t>KES</t>
        </is>
      </c>
      <c r="H146" s="2" t="inlineStr">
        <is>
          <t>RBA</t>
        </is>
      </c>
      <c r="I146" s="2" t="inlineStr">
        <is>
          <t>Yes</t>
        </is>
      </c>
      <c r="J146" s="2" t="inlineStr">
        <is>
          <t>L</t>
        </is>
      </c>
      <c r="K146" s="2" t="inlineStr">
        <is>
          <t>AUM TBC.</t>
        </is>
      </c>
    </row>
    <row r="147" ht="15" customHeight="1" s="26">
      <c r="A147" s="2" t="inlineStr">
        <is>
          <t>Kenya</t>
        </is>
      </c>
      <c r="B147" s="2" t="inlineStr">
        <is>
          <t>East African Breweries Limited (EABL) Staff RBS</t>
        </is>
      </c>
      <c r="C147" s="2" t="inlineStr">
        <is>
          <t>Corporate</t>
        </is>
      </c>
      <c r="D147" s="2" t="inlineStr">
        <is>
          <t>various</t>
        </is>
      </c>
      <c r="E147" s="2" t="n">
        <v>150</v>
      </c>
      <c r="F147" s="2" t="n">
        <v>2023</v>
      </c>
      <c r="G147" s="2" t="inlineStr">
        <is>
          <t>KES</t>
        </is>
      </c>
      <c r="H147" s="2" t="inlineStr">
        <is>
          <t>RBA</t>
        </is>
      </c>
      <c r="I147" s="2" t="inlineStr">
        <is>
          <t>Yes</t>
        </is>
      </c>
      <c r="J147" s="2" t="inlineStr">
        <is>
          <t>L</t>
        </is>
      </c>
      <c r="K147" s="2" t="inlineStr">
        <is>
          <t>Top corporate scheme; AUM TBC.</t>
        </is>
      </c>
    </row>
    <row r="148" ht="15" customHeight="1" s="26">
      <c r="A148" s="2" t="inlineStr">
        <is>
          <t>Kenya</t>
        </is>
      </c>
      <c r="B148" s="2" t="inlineStr">
        <is>
          <t>KCB Group Staff Pension Fund</t>
        </is>
      </c>
      <c r="C148" s="2" t="inlineStr">
        <is>
          <t>Corporate (banking)</t>
        </is>
      </c>
      <c r="D148" s="2" t="inlineStr">
        <is>
          <t>various</t>
        </is>
      </c>
      <c r="E148" s="2" t="n">
        <v>200</v>
      </c>
      <c r="F148" s="2" t="n">
        <v>2023</v>
      </c>
      <c r="G148" s="2" t="inlineStr">
        <is>
          <t>KES</t>
        </is>
      </c>
      <c r="H148" s="2" t="inlineStr">
        <is>
          <t>RBA</t>
        </is>
      </c>
      <c r="I148" s="2" t="inlineStr">
        <is>
          <t>Yes</t>
        </is>
      </c>
      <c r="J148" s="2" t="inlineStr">
        <is>
          <t>L</t>
        </is>
      </c>
      <c r="K148" s="2" t="inlineStr">
        <is>
          <t>Top corporate scheme; AUM TBC.</t>
        </is>
      </c>
    </row>
    <row r="149" ht="15" customHeight="1" s="26">
      <c r="A149" s="2" t="inlineStr">
        <is>
          <t>Kenya</t>
        </is>
      </c>
      <c r="B149" s="2" t="inlineStr">
        <is>
          <t>Co-operative Bank of Kenya Staff RBS</t>
        </is>
      </c>
      <c r="C149" s="2" t="inlineStr">
        <is>
          <t>Corporate (banking)</t>
        </is>
      </c>
      <c r="D149" s="2" t="inlineStr">
        <is>
          <t>various</t>
        </is>
      </c>
      <c r="E149" s="2" t="n">
        <v>150</v>
      </c>
      <c r="F149" s="2" t="n">
        <v>2023</v>
      </c>
      <c r="G149" s="2" t="inlineStr">
        <is>
          <t>KES</t>
        </is>
      </c>
      <c r="H149" s="2" t="inlineStr">
        <is>
          <t>RBA</t>
        </is>
      </c>
      <c r="I149" s="2" t="inlineStr">
        <is>
          <t>Yes</t>
        </is>
      </c>
      <c r="J149" s="2" t="inlineStr">
        <is>
          <t>L</t>
        </is>
      </c>
      <c r="K149" s="2" t="inlineStr">
        <is>
          <t>AUM TBC.</t>
        </is>
      </c>
    </row>
    <row r="150" ht="15" customHeight="1" s="26">
      <c r="A150" s="2" t="inlineStr">
        <is>
          <t>Kenya</t>
        </is>
      </c>
      <c r="B150" s="2" t="inlineStr">
        <is>
          <t>Safaricom Staff Pension Scheme</t>
        </is>
      </c>
      <c r="C150" s="2" t="inlineStr">
        <is>
          <t>Corporate (telecoms)</t>
        </is>
      </c>
      <c r="D150" s="2" t="inlineStr">
        <is>
          <t>various</t>
        </is>
      </c>
      <c r="E150" s="2" t="n">
        <v>200</v>
      </c>
      <c r="F150" s="2" t="n">
        <v>2023</v>
      </c>
      <c r="G150" s="2" t="inlineStr">
        <is>
          <t>KES</t>
        </is>
      </c>
      <c r="H150" s="2" t="inlineStr">
        <is>
          <t>RBA</t>
        </is>
      </c>
      <c r="I150" s="2" t="inlineStr">
        <is>
          <t>Yes</t>
        </is>
      </c>
      <c r="J150" s="2" t="inlineStr">
        <is>
          <t>L</t>
        </is>
      </c>
      <c r="K150" s="2" t="inlineStr">
        <is>
          <t>AUM TBC; large staff base.</t>
        </is>
      </c>
    </row>
    <row r="151" ht="15" customHeight="1" s="26">
      <c r="A151" s="2" t="inlineStr">
        <is>
          <t>Kenya</t>
        </is>
      </c>
      <c r="B151" s="2" t="inlineStr">
        <is>
          <t>Octagon Africa Master Trust (umbrella)</t>
        </is>
      </c>
      <c r="C151" s="2" t="inlineStr">
        <is>
          <t>Umbrella DC</t>
        </is>
      </c>
      <c r="D151" s="2" t="n">
        <v>2007</v>
      </c>
      <c r="E151" s="2" t="n">
        <v>300</v>
      </c>
      <c r="F151" s="2" t="n">
        <v>2024</v>
      </c>
      <c r="G151" s="2" t="inlineStr">
        <is>
          <t>KES</t>
        </is>
      </c>
      <c r="H151" s="2" t="inlineStr">
        <is>
          <t>RBA</t>
        </is>
      </c>
      <c r="I151" s="2" t="inlineStr">
        <is>
          <t>Yes</t>
        </is>
      </c>
      <c r="J151" s="2" t="inlineStr">
        <is>
          <t>L</t>
        </is>
      </c>
      <c r="K151" s="2" t="inlineStr">
        <is>
          <t>Umbrella sponsor; AUM TBC.</t>
        </is>
      </c>
    </row>
    <row r="152" ht="15" customHeight="1" s="26">
      <c r="A152" s="2" t="inlineStr">
        <is>
          <t>Kenya</t>
        </is>
      </c>
      <c r="B152" s="2" t="inlineStr">
        <is>
          <t>Zamara Fanaka Retirement Fund (umbrella)</t>
        </is>
      </c>
      <c r="C152" s="2" t="inlineStr">
        <is>
          <t>Umbrella DC</t>
        </is>
      </c>
      <c r="D152" s="2" t="inlineStr">
        <is>
          <t>—</t>
        </is>
      </c>
      <c r="E152" s="2" t="n">
        <v>250</v>
      </c>
      <c r="F152" s="2" t="n">
        <v>2024</v>
      </c>
      <c r="G152" s="2" t="inlineStr">
        <is>
          <t>KES</t>
        </is>
      </c>
      <c r="H152" s="2" t="inlineStr">
        <is>
          <t>RBA</t>
        </is>
      </c>
      <c r="I152" s="2" t="inlineStr">
        <is>
          <t>Yes</t>
        </is>
      </c>
      <c r="J152" s="2" t="inlineStr">
        <is>
          <t>L</t>
        </is>
      </c>
      <c r="K152" s="2" t="inlineStr">
        <is>
          <t>Umbrella; AUM TBC.</t>
        </is>
      </c>
    </row>
    <row r="153" ht="15" customHeight="1" s="26">
      <c r="A153" s="2" t="inlineStr">
        <is>
          <t>Kenya</t>
        </is>
      </c>
      <c r="B153" s="2" t="inlineStr">
        <is>
          <t>Alexander Forbes Retirement Fund Kenya (umbrella)</t>
        </is>
      </c>
      <c r="C153" s="2" t="inlineStr">
        <is>
          <t>Umbrella DC</t>
        </is>
      </c>
      <c r="D153" s="2" t="inlineStr">
        <is>
          <t>—</t>
        </is>
      </c>
      <c r="E153" s="2" t="n">
        <v>200</v>
      </c>
      <c r="F153" s="2" t="n">
        <v>2024</v>
      </c>
      <c r="G153" s="2" t="inlineStr">
        <is>
          <t>KES</t>
        </is>
      </c>
      <c r="H153" s="2" t="inlineStr">
        <is>
          <t>RBA</t>
        </is>
      </c>
      <c r="I153" s="2" t="inlineStr">
        <is>
          <t>Yes</t>
        </is>
      </c>
      <c r="J153" s="2" t="inlineStr">
        <is>
          <t>L</t>
        </is>
      </c>
      <c r="K153" s="2" t="inlineStr">
        <is>
          <t>Umbrella; AUM TBC.</t>
        </is>
      </c>
    </row>
    <row r="154" ht="15" customHeight="1" s="26">
      <c r="A154" s="2" t="inlineStr">
        <is>
          <t>Ghana</t>
        </is>
      </c>
      <c r="B154" s="2" t="inlineStr">
        <is>
          <t>Petra Trust Company</t>
        </is>
      </c>
      <c r="C154" s="2" t="inlineStr">
        <is>
          <t>Corporate trustee (Tier 2/3)</t>
        </is>
      </c>
      <c r="D154" s="2" t="n">
        <v>2011</v>
      </c>
      <c r="E154" s="2" t="n">
        <v>600</v>
      </c>
      <c r="F154" s="2" t="n">
        <v>2024</v>
      </c>
      <c r="G154" s="2" t="inlineStr">
        <is>
          <t>GHS</t>
        </is>
      </c>
      <c r="H154" s="2" t="inlineStr">
        <is>
          <t>NPRA</t>
        </is>
      </c>
      <c r="I154" s="2" t="inlineStr">
        <is>
          <t>Yes</t>
        </is>
      </c>
      <c r="J154" s="2" t="inlineStr">
        <is>
          <t>M</t>
        </is>
      </c>
      <c r="K154" s="2" t="inlineStr">
        <is>
          <t>Largest private trustee in Ghana.</t>
        </is>
      </c>
    </row>
    <row r="155" ht="15" customHeight="1" s="26">
      <c r="A155" s="2" t="inlineStr">
        <is>
          <t>Ghana</t>
        </is>
      </c>
      <c r="B155" s="2" t="inlineStr">
        <is>
          <t>Enterprise Trustees Limited</t>
        </is>
      </c>
      <c r="C155" s="2" t="inlineStr">
        <is>
          <t>Corporate trustee (Tier 2/3)</t>
        </is>
      </c>
      <c r="D155" s="2" t="n">
        <v>2011</v>
      </c>
      <c r="E155" s="2" t="n">
        <v>500</v>
      </c>
      <c r="F155" s="2" t="n">
        <v>2024</v>
      </c>
      <c r="G155" s="2" t="inlineStr">
        <is>
          <t>GHS</t>
        </is>
      </c>
      <c r="H155" s="2" t="inlineStr">
        <is>
          <t>NPRA</t>
        </is>
      </c>
      <c r="I155" s="2" t="inlineStr">
        <is>
          <t>Yes</t>
        </is>
      </c>
      <c r="J155" s="2" t="inlineStr">
        <is>
          <t>M</t>
        </is>
      </c>
      <c r="K155" s="2" t="inlineStr">
        <is>
          <t>Top-tier private trustee.</t>
        </is>
      </c>
    </row>
    <row r="156" ht="15" customHeight="1" s="26">
      <c r="A156" s="2" t="inlineStr">
        <is>
          <t>Ghana</t>
        </is>
      </c>
      <c r="B156" s="2" t="inlineStr">
        <is>
          <t>Glico Pensions Trustee Company</t>
        </is>
      </c>
      <c r="C156" s="2" t="inlineStr">
        <is>
          <t>Corporate trustee</t>
        </is>
      </c>
      <c r="D156" s="2" t="n">
        <v>2011</v>
      </c>
      <c r="E156" s="2" t="n">
        <v>250</v>
      </c>
      <c r="F156" s="2" t="n">
        <v>2023</v>
      </c>
      <c r="G156" s="2" t="inlineStr">
        <is>
          <t>GHS</t>
        </is>
      </c>
      <c r="H156" s="2" t="inlineStr">
        <is>
          <t>NPRA</t>
        </is>
      </c>
      <c r="I156" s="2" t="inlineStr">
        <is>
          <t>Yes</t>
        </is>
      </c>
      <c r="J156" s="2" t="inlineStr">
        <is>
          <t>M</t>
        </is>
      </c>
      <c r="K156" s="2" t="n"/>
    </row>
    <row r="157" ht="15" customHeight="1" s="26">
      <c r="A157" s="2" t="inlineStr">
        <is>
          <t>Ghana</t>
        </is>
      </c>
      <c r="B157" s="2" t="inlineStr">
        <is>
          <t>Old Mutual Pensions Trust Ghana</t>
        </is>
      </c>
      <c r="C157" s="2" t="inlineStr">
        <is>
          <t>Corporate trustee</t>
        </is>
      </c>
      <c r="D157" s="2" t="n">
        <v>2011</v>
      </c>
      <c r="E157" s="2" t="n">
        <v>250</v>
      </c>
      <c r="F157" s="2" t="n">
        <v>2023</v>
      </c>
      <c r="G157" s="2" t="inlineStr">
        <is>
          <t>GHS</t>
        </is>
      </c>
      <c r="H157" s="2" t="inlineStr">
        <is>
          <t>NPRA</t>
        </is>
      </c>
      <c r="I157" s="2" t="inlineStr">
        <is>
          <t>Yes</t>
        </is>
      </c>
      <c r="J157" s="2" t="inlineStr">
        <is>
          <t>M</t>
        </is>
      </c>
      <c r="K157" s="2" t="n"/>
    </row>
    <row r="158" ht="15" customHeight="1" s="26">
      <c r="A158" s="2" t="inlineStr">
        <is>
          <t>Ghana</t>
        </is>
      </c>
      <c r="B158" s="2" t="inlineStr">
        <is>
          <t>Negotiated Benefits Trust Company (NBTC)</t>
        </is>
      </c>
      <c r="C158" s="2" t="inlineStr">
        <is>
          <t>Corporate trustee</t>
        </is>
      </c>
      <c r="D158" s="2" t="n">
        <v>2011</v>
      </c>
      <c r="E158" s="2" t="n">
        <v>300</v>
      </c>
      <c r="F158" s="2" t="n">
        <v>2023</v>
      </c>
      <c r="G158" s="2" t="inlineStr">
        <is>
          <t>GHS</t>
        </is>
      </c>
      <c r="H158" s="2" t="inlineStr">
        <is>
          <t>NPRA</t>
        </is>
      </c>
      <c r="I158" s="2" t="inlineStr">
        <is>
          <t>Yes</t>
        </is>
      </c>
      <c r="J158" s="2" t="inlineStr">
        <is>
          <t>M</t>
        </is>
      </c>
      <c r="K158" s="2" t="n"/>
    </row>
    <row r="159" ht="15" customHeight="1" s="26">
      <c r="A159" s="2" t="inlineStr">
        <is>
          <t>Ghana</t>
        </is>
      </c>
      <c r="B159" s="2" t="inlineStr">
        <is>
          <t>Axis Pension Trust</t>
        </is>
      </c>
      <c r="C159" s="2" t="inlineStr">
        <is>
          <t>Corporate trustee</t>
        </is>
      </c>
      <c r="D159" s="2" t="n">
        <v>2011</v>
      </c>
      <c r="E159" s="2" t="n">
        <v>200</v>
      </c>
      <c r="F159" s="2" t="n">
        <v>2023</v>
      </c>
      <c r="G159" s="2" t="inlineStr">
        <is>
          <t>GHS</t>
        </is>
      </c>
      <c r="H159" s="2" t="inlineStr">
        <is>
          <t>NPRA</t>
        </is>
      </c>
      <c r="I159" s="2" t="inlineStr">
        <is>
          <t>Yes</t>
        </is>
      </c>
      <c r="J159" s="2" t="inlineStr">
        <is>
          <t>M</t>
        </is>
      </c>
      <c r="K159" s="2" t="n"/>
    </row>
    <row r="160" ht="15" customHeight="1" s="26">
      <c r="A160" s="2" t="inlineStr">
        <is>
          <t>Ghana</t>
        </is>
      </c>
      <c r="B160" s="2" t="inlineStr">
        <is>
          <t>Pensions Alliance Trust (Ghana)</t>
        </is>
      </c>
      <c r="C160" s="2" t="inlineStr">
        <is>
          <t>Corporate trustee</t>
        </is>
      </c>
      <c r="D160" s="2" t="n">
        <v>2011</v>
      </c>
      <c r="E160" s="2" t="n">
        <v>200</v>
      </c>
      <c r="F160" s="2" t="n">
        <v>2023</v>
      </c>
      <c r="G160" s="2" t="inlineStr">
        <is>
          <t>GHS</t>
        </is>
      </c>
      <c r="H160" s="2" t="inlineStr">
        <is>
          <t>NPRA</t>
        </is>
      </c>
      <c r="I160" s="2" t="inlineStr">
        <is>
          <t>Yes</t>
        </is>
      </c>
      <c r="J160" s="2" t="inlineStr">
        <is>
          <t>L</t>
        </is>
      </c>
      <c r="K160" s="2" t="inlineStr">
        <is>
          <t>AUM TBC.</t>
        </is>
      </c>
    </row>
    <row r="161" ht="15" customHeight="1" s="26">
      <c r="A161" s="2" t="inlineStr">
        <is>
          <t>Ghana</t>
        </is>
      </c>
      <c r="B161" s="2" t="inlineStr">
        <is>
          <t>Daakye Pension Trust</t>
        </is>
      </c>
      <c r="C161" s="2" t="inlineStr">
        <is>
          <t>Corporate trustee</t>
        </is>
      </c>
      <c r="D161" s="2" t="n">
        <v>2011</v>
      </c>
      <c r="E161" s="2" t="n">
        <v>150</v>
      </c>
      <c r="F161" s="2" t="n">
        <v>2023</v>
      </c>
      <c r="G161" s="2" t="inlineStr">
        <is>
          <t>GHS</t>
        </is>
      </c>
      <c r="H161" s="2" t="inlineStr">
        <is>
          <t>NPRA</t>
        </is>
      </c>
      <c r="I161" s="2" t="inlineStr">
        <is>
          <t>Yes</t>
        </is>
      </c>
      <c r="J161" s="2" t="inlineStr">
        <is>
          <t>L</t>
        </is>
      </c>
      <c r="K161" s="2" t="inlineStr">
        <is>
          <t>AUM TBC.</t>
        </is>
      </c>
    </row>
    <row r="162" ht="15" customHeight="1" s="26">
      <c r="A162" s="2" t="inlineStr">
        <is>
          <t>Ghana</t>
        </is>
      </c>
      <c r="B162" s="2" t="inlineStr">
        <is>
          <t>Hedge Pensions Trust</t>
        </is>
      </c>
      <c r="C162" s="2" t="inlineStr">
        <is>
          <t>Corporate trustee</t>
        </is>
      </c>
      <c r="D162" s="2" t="n">
        <v>2011</v>
      </c>
      <c r="E162" s="2" t="n">
        <v>150</v>
      </c>
      <c r="F162" s="2" t="n">
        <v>2023</v>
      </c>
      <c r="G162" s="2" t="inlineStr">
        <is>
          <t>GHS</t>
        </is>
      </c>
      <c r="H162" s="2" t="inlineStr">
        <is>
          <t>NPRA</t>
        </is>
      </c>
      <c r="I162" s="2" t="inlineStr">
        <is>
          <t>Yes</t>
        </is>
      </c>
      <c r="J162" s="2" t="inlineStr">
        <is>
          <t>L</t>
        </is>
      </c>
      <c r="K162" s="2" t="inlineStr">
        <is>
          <t>AUM TBC.</t>
        </is>
      </c>
    </row>
    <row r="163" ht="15" customHeight="1" s="26">
      <c r="A163" s="2" t="inlineStr">
        <is>
          <t>Ghana</t>
        </is>
      </c>
      <c r="B163" s="2" t="inlineStr">
        <is>
          <t>Republic Boafo Pensions Trust</t>
        </is>
      </c>
      <c r="C163" s="2" t="inlineStr">
        <is>
          <t>Corporate trustee</t>
        </is>
      </c>
      <c r="D163" s="2" t="n">
        <v>2011</v>
      </c>
      <c r="E163" s="2" t="n">
        <v>100</v>
      </c>
      <c r="F163" s="2" t="n">
        <v>2023</v>
      </c>
      <c r="G163" s="2" t="inlineStr">
        <is>
          <t>GHS</t>
        </is>
      </c>
      <c r="H163" s="2" t="inlineStr">
        <is>
          <t>NPRA</t>
        </is>
      </c>
      <c r="I163" s="2" t="inlineStr">
        <is>
          <t>Yes</t>
        </is>
      </c>
      <c r="J163" s="2" t="inlineStr">
        <is>
          <t>L</t>
        </is>
      </c>
      <c r="K163" s="2" t="inlineStr">
        <is>
          <t>AUM TBC.</t>
        </is>
      </c>
    </row>
    <row r="164" ht="15" customHeight="1" s="26">
      <c r="A164" s="2" t="inlineStr">
        <is>
          <t>Ghana</t>
        </is>
      </c>
      <c r="B164" s="2" t="inlineStr">
        <is>
          <t>Best Pensions Trust</t>
        </is>
      </c>
      <c r="C164" s="2" t="inlineStr">
        <is>
          <t>Corporate trustee</t>
        </is>
      </c>
      <c r="D164" s="2" t="n">
        <v>2011</v>
      </c>
      <c r="E164" s="2" t="n">
        <v>100</v>
      </c>
      <c r="F164" s="2" t="n">
        <v>2023</v>
      </c>
      <c r="G164" s="2" t="inlineStr">
        <is>
          <t>GHS</t>
        </is>
      </c>
      <c r="H164" s="2" t="inlineStr">
        <is>
          <t>NPRA</t>
        </is>
      </c>
      <c r="I164" s="2" t="inlineStr">
        <is>
          <t>Yes</t>
        </is>
      </c>
      <c r="J164" s="2" t="inlineStr">
        <is>
          <t>L</t>
        </is>
      </c>
      <c r="K164" s="2" t="inlineStr">
        <is>
          <t>AUM TBC.</t>
        </is>
      </c>
    </row>
    <row r="165" ht="15" customHeight="1" s="26">
      <c r="A165" s="2" t="inlineStr">
        <is>
          <t>Ghana</t>
        </is>
      </c>
      <c r="B165" s="2" t="inlineStr">
        <is>
          <t>Stallion Trust</t>
        </is>
      </c>
      <c r="C165" s="2" t="inlineStr">
        <is>
          <t>Corporate trustee</t>
        </is>
      </c>
      <c r="D165" s="2" t="n">
        <v>2011</v>
      </c>
      <c r="E165" s="2" t="n">
        <v>80</v>
      </c>
      <c r="F165" s="2" t="n">
        <v>2023</v>
      </c>
      <c r="G165" s="2" t="inlineStr">
        <is>
          <t>GHS</t>
        </is>
      </c>
      <c r="H165" s="2" t="inlineStr">
        <is>
          <t>NPRA</t>
        </is>
      </c>
      <c r="I165" s="2" t="inlineStr">
        <is>
          <t>Yes</t>
        </is>
      </c>
      <c r="J165" s="2" t="inlineStr">
        <is>
          <t>L</t>
        </is>
      </c>
      <c r="K165" s="2" t="inlineStr">
        <is>
          <t>AUM TBC.</t>
        </is>
      </c>
    </row>
    <row r="166" ht="15" customHeight="1" s="26">
      <c r="A166" s="2" t="inlineStr">
        <is>
          <t>Uganda</t>
        </is>
      </c>
      <c r="B166" s="2" t="inlineStr">
        <is>
          <t>Parliamentary Pension Scheme (Uganda)</t>
        </is>
      </c>
      <c r="C166" s="2" t="inlineStr">
        <is>
          <t>Public (legislative)</t>
        </is>
      </c>
      <c r="D166" s="2" t="n">
        <v>2007</v>
      </c>
      <c r="E166" s="2" t="n">
        <v>150</v>
      </c>
      <c r="F166" s="2" t="n">
        <v>2023</v>
      </c>
      <c r="G166" s="2" t="inlineStr">
        <is>
          <t>UGX</t>
        </is>
      </c>
      <c r="H166" s="2" t="inlineStr">
        <is>
          <t>URBRA</t>
        </is>
      </c>
      <c r="I166" s="2" t="inlineStr">
        <is>
          <t>Yes</t>
        </is>
      </c>
      <c r="J166" s="2" t="inlineStr">
        <is>
          <t>M</t>
        </is>
      </c>
      <c r="K166" s="2" t="inlineStr">
        <is>
          <t>Established under Parliamentary Pensions Act.</t>
        </is>
      </c>
    </row>
    <row r="167" ht="15" customHeight="1" s="26">
      <c r="A167" s="2" t="inlineStr">
        <is>
          <t>Uganda</t>
        </is>
      </c>
      <c r="B167" s="2" t="inlineStr">
        <is>
          <t>Bank of Uganda Defined Benefits Scheme</t>
        </is>
      </c>
      <c r="C167" s="2" t="inlineStr">
        <is>
          <t>Occupational (central bank)</t>
        </is>
      </c>
      <c r="D167" s="2" t="inlineStr">
        <is>
          <t>various</t>
        </is>
      </c>
      <c r="E167" s="2" t="n">
        <v>100</v>
      </c>
      <c r="F167" s="2" t="n">
        <v>2023</v>
      </c>
      <c r="G167" s="2" t="inlineStr">
        <is>
          <t>UGX</t>
        </is>
      </c>
      <c r="H167" s="2" t="inlineStr">
        <is>
          <t>URBRA</t>
        </is>
      </c>
      <c r="I167" s="2" t="inlineStr">
        <is>
          <t>Yes</t>
        </is>
      </c>
      <c r="J167" s="2" t="inlineStr">
        <is>
          <t>L</t>
        </is>
      </c>
      <c r="K167" s="2" t="inlineStr">
        <is>
          <t>AUM TBC.</t>
        </is>
      </c>
    </row>
    <row r="168" ht="23.25" customHeight="1" s="26">
      <c r="A168" s="2" t="inlineStr">
        <is>
          <t>Uganda</t>
        </is>
      </c>
      <c r="B168" s="2" t="inlineStr">
        <is>
          <t>National Water and Sewerage Corporation (NWSC) Staff Pension</t>
        </is>
      </c>
      <c r="C168" s="2" t="inlineStr">
        <is>
          <t>Occupational (parastatal)</t>
        </is>
      </c>
      <c r="D168" s="2" t="inlineStr">
        <is>
          <t>various</t>
        </is>
      </c>
      <c r="E168" s="2" t="n">
        <v>80</v>
      </c>
      <c r="F168" s="2" t="n">
        <v>2023</v>
      </c>
      <c r="G168" s="2" t="inlineStr">
        <is>
          <t>UGX</t>
        </is>
      </c>
      <c r="H168" s="2" t="inlineStr">
        <is>
          <t>URBRA</t>
        </is>
      </c>
      <c r="I168" s="2" t="inlineStr">
        <is>
          <t>Yes</t>
        </is>
      </c>
      <c r="J168" s="2" t="inlineStr">
        <is>
          <t>L</t>
        </is>
      </c>
      <c r="K168" s="2" t="inlineStr">
        <is>
          <t>AUM TBC.</t>
        </is>
      </c>
    </row>
    <row r="169" ht="15" customHeight="1" s="26">
      <c r="A169" s="2" t="inlineStr">
        <is>
          <t>Uganda</t>
        </is>
      </c>
      <c r="B169" s="2" t="inlineStr">
        <is>
          <t>Stanbic Bank Uganda Staff Pension</t>
        </is>
      </c>
      <c r="C169" s="2" t="inlineStr">
        <is>
          <t>Corporate (banking)</t>
        </is>
      </c>
      <c r="D169" s="2" t="inlineStr">
        <is>
          <t>various</t>
        </is>
      </c>
      <c r="E169" s="2" t="n">
        <v>80</v>
      </c>
      <c r="F169" s="2" t="n">
        <v>2023</v>
      </c>
      <c r="G169" s="2" t="inlineStr">
        <is>
          <t>UGX</t>
        </is>
      </c>
      <c r="H169" s="2" t="inlineStr">
        <is>
          <t>URBRA</t>
        </is>
      </c>
      <c r="I169" s="2" t="inlineStr">
        <is>
          <t>Yes</t>
        </is>
      </c>
      <c r="J169" s="2" t="inlineStr">
        <is>
          <t>L</t>
        </is>
      </c>
      <c r="K169" s="2" t="inlineStr">
        <is>
          <t>AUM TBC.</t>
        </is>
      </c>
    </row>
    <row r="170" ht="15" customHeight="1" s="26">
      <c r="A170" s="2" t="inlineStr">
        <is>
          <t>Uganda</t>
        </is>
      </c>
      <c r="B170" s="2" t="inlineStr">
        <is>
          <t>Centenary Bank Staff Retirement Benefits</t>
        </is>
      </c>
      <c r="C170" s="2" t="inlineStr">
        <is>
          <t>Corporate (banking)</t>
        </is>
      </c>
      <c r="D170" s="2" t="inlineStr">
        <is>
          <t>various</t>
        </is>
      </c>
      <c r="E170" s="2" t="n">
        <v>60</v>
      </c>
      <c r="F170" s="2" t="n">
        <v>2023</v>
      </c>
      <c r="G170" s="2" t="inlineStr">
        <is>
          <t>UGX</t>
        </is>
      </c>
      <c r="H170" s="2" t="inlineStr">
        <is>
          <t>URBRA</t>
        </is>
      </c>
      <c r="I170" s="2" t="inlineStr">
        <is>
          <t>Yes</t>
        </is>
      </c>
      <c r="J170" s="2" t="inlineStr">
        <is>
          <t>L</t>
        </is>
      </c>
      <c r="K170" s="2" t="inlineStr">
        <is>
          <t>AUM TBC.</t>
        </is>
      </c>
    </row>
    <row r="171" ht="15" customHeight="1" s="26">
      <c r="A171" s="2" t="inlineStr">
        <is>
          <t>Uganda</t>
        </is>
      </c>
      <c r="B171" s="2" t="inlineStr">
        <is>
          <t>MTN Uganda Staff Provident Fund</t>
        </is>
      </c>
      <c r="C171" s="2" t="inlineStr">
        <is>
          <t>Corporate (telecoms)</t>
        </is>
      </c>
      <c r="D171" s="2" t="inlineStr">
        <is>
          <t>various</t>
        </is>
      </c>
      <c r="E171" s="2" t="n">
        <v>60</v>
      </c>
      <c r="F171" s="2" t="n">
        <v>2023</v>
      </c>
      <c r="G171" s="2" t="inlineStr">
        <is>
          <t>UGX</t>
        </is>
      </c>
      <c r="H171" s="2" t="inlineStr">
        <is>
          <t>URBRA</t>
        </is>
      </c>
      <c r="I171" s="2" t="inlineStr">
        <is>
          <t>Yes</t>
        </is>
      </c>
      <c r="J171" s="2" t="inlineStr">
        <is>
          <t>L</t>
        </is>
      </c>
      <c r="K171" s="2" t="inlineStr">
        <is>
          <t>AUM TBC.</t>
        </is>
      </c>
    </row>
    <row r="172" ht="15" customHeight="1" s="26">
      <c r="A172" s="2" t="inlineStr">
        <is>
          <t>Uganda</t>
        </is>
      </c>
      <c r="B172" s="2" t="inlineStr">
        <is>
          <t>Watu Public Servants Pension Scheme (transitional)</t>
        </is>
      </c>
      <c r="C172" s="2" t="inlineStr">
        <is>
          <t>Public (in transition)</t>
        </is>
      </c>
      <c r="D172" s="2" t="n">
        <v>2020</v>
      </c>
      <c r="E172" s="2" t="n">
        <v>200</v>
      </c>
      <c r="F172" s="2" t="n">
        <v>2023</v>
      </c>
      <c r="G172" s="2" t="inlineStr">
        <is>
          <t>UGX</t>
        </is>
      </c>
      <c r="H172" s="2" t="inlineStr">
        <is>
          <t>URBRA</t>
        </is>
      </c>
      <c r="I172" s="2" t="inlineStr">
        <is>
          <t>Limited</t>
        </is>
      </c>
      <c r="J172" s="2" t="inlineStr">
        <is>
          <t>L</t>
        </is>
      </c>
      <c r="K172" s="2" t="inlineStr">
        <is>
          <t>Pending Public Service Pensions Fund operationalisation.</t>
        </is>
      </c>
    </row>
    <row r="173" ht="23.25" customHeight="1" s="26">
      <c r="A173" s="2" t="inlineStr">
        <is>
          <t>Zimbabwe</t>
        </is>
      </c>
      <c r="B173" s="2" t="inlineStr">
        <is>
          <t>Communications and Allied Industries Pension Fund (CAIPF)</t>
        </is>
      </c>
      <c r="C173" s="2" t="inlineStr">
        <is>
          <t>Multi-employer</t>
        </is>
      </c>
      <c r="D173" s="2" t="inlineStr">
        <is>
          <t>various</t>
        </is>
      </c>
      <c r="E173" s="2" t="n">
        <v>150</v>
      </c>
      <c r="F173" s="2" t="n">
        <v>2023</v>
      </c>
      <c r="G173" s="2" t="inlineStr">
        <is>
          <t>USD</t>
        </is>
      </c>
      <c r="H173" s="2" t="inlineStr">
        <is>
          <t>IPEC</t>
        </is>
      </c>
      <c r="I173" s="2" t="inlineStr">
        <is>
          <t>Yes</t>
        </is>
      </c>
      <c r="J173" s="2" t="inlineStr">
        <is>
          <t>M</t>
        </is>
      </c>
      <c r="K173" s="2" t="n"/>
    </row>
    <row r="174" ht="15" customHeight="1" s="26">
      <c r="A174" s="2" t="inlineStr">
        <is>
          <t>Zimbabwe</t>
        </is>
      </c>
      <c r="B174" s="2" t="inlineStr">
        <is>
          <t>Catering Industry Pension Fund</t>
        </is>
      </c>
      <c r="C174" s="2" t="inlineStr">
        <is>
          <t>Multi-employer</t>
        </is>
      </c>
      <c r="D174" s="2" t="inlineStr">
        <is>
          <t>various</t>
        </is>
      </c>
      <c r="E174" s="2" t="n">
        <v>80</v>
      </c>
      <c r="F174" s="2" t="n">
        <v>2023</v>
      </c>
      <c r="G174" s="2" t="inlineStr">
        <is>
          <t>USD</t>
        </is>
      </c>
      <c r="H174" s="2" t="inlineStr">
        <is>
          <t>IPEC</t>
        </is>
      </c>
      <c r="I174" s="2" t="inlineStr">
        <is>
          <t>Yes</t>
        </is>
      </c>
      <c r="J174" s="2" t="inlineStr">
        <is>
          <t>L</t>
        </is>
      </c>
      <c r="K174" s="2" t="inlineStr">
        <is>
          <t>AUM TBC.</t>
        </is>
      </c>
    </row>
    <row r="175" ht="15" customHeight="1" s="26">
      <c r="A175" s="2" t="inlineStr">
        <is>
          <t>Zimbabwe</t>
        </is>
      </c>
      <c r="B175" s="2" t="inlineStr">
        <is>
          <t>ZESA Pension Fund</t>
        </is>
      </c>
      <c r="C175" s="2" t="inlineStr">
        <is>
          <t>Parastatal (electricity)</t>
        </is>
      </c>
      <c r="D175" s="2" t="inlineStr">
        <is>
          <t>various</t>
        </is>
      </c>
      <c r="E175" s="2" t="n">
        <v>150</v>
      </c>
      <c r="F175" s="2" t="n">
        <v>2023</v>
      </c>
      <c r="G175" s="2" t="inlineStr">
        <is>
          <t>USD</t>
        </is>
      </c>
      <c r="H175" s="2" t="inlineStr">
        <is>
          <t>IPEC</t>
        </is>
      </c>
      <c r="I175" s="2" t="inlineStr">
        <is>
          <t>Yes</t>
        </is>
      </c>
      <c r="J175" s="2" t="inlineStr">
        <is>
          <t>L</t>
        </is>
      </c>
      <c r="K175" s="2" t="inlineStr">
        <is>
          <t>AUM TBC.</t>
        </is>
      </c>
    </row>
    <row r="176" ht="15" customHeight="1" s="26">
      <c r="A176" s="2" t="inlineStr">
        <is>
          <t>Zimbabwe</t>
        </is>
      </c>
      <c r="B176" s="2" t="inlineStr">
        <is>
          <t>National Railways of Zimbabwe Contributory Pension Fund</t>
        </is>
      </c>
      <c r="C176" s="2" t="inlineStr">
        <is>
          <t>Parastatal</t>
        </is>
      </c>
      <c r="D176" s="2" t="inlineStr">
        <is>
          <t>various</t>
        </is>
      </c>
      <c r="E176" s="2" t="n">
        <v>100</v>
      </c>
      <c r="F176" s="2" t="n">
        <v>2023</v>
      </c>
      <c r="G176" s="2" t="inlineStr">
        <is>
          <t>USD</t>
        </is>
      </c>
      <c r="H176" s="2" t="inlineStr">
        <is>
          <t>IPEC</t>
        </is>
      </c>
      <c r="I176" s="2" t="inlineStr">
        <is>
          <t>Yes</t>
        </is>
      </c>
      <c r="J176" s="2" t="inlineStr">
        <is>
          <t>L</t>
        </is>
      </c>
      <c r="K176" s="2" t="inlineStr">
        <is>
          <t>AUM TBC.</t>
        </is>
      </c>
    </row>
    <row r="177" ht="15" customHeight="1" s="26">
      <c r="A177" s="2" t="inlineStr">
        <is>
          <t>Zimbabwe</t>
        </is>
      </c>
      <c r="B177" s="2" t="inlineStr">
        <is>
          <t>Old Mutual Zimbabwe Staff Pension Fund</t>
        </is>
      </c>
      <c r="C177" s="2" t="inlineStr">
        <is>
          <t>Corporate</t>
        </is>
      </c>
      <c r="D177" s="2" t="inlineStr">
        <is>
          <t>various</t>
        </is>
      </c>
      <c r="E177" s="2" t="n">
        <v>120</v>
      </c>
      <c r="F177" s="2" t="n">
        <v>2023</v>
      </c>
      <c r="G177" s="2" t="inlineStr">
        <is>
          <t>USD</t>
        </is>
      </c>
      <c r="H177" s="2" t="inlineStr">
        <is>
          <t>IPEC</t>
        </is>
      </c>
      <c r="I177" s="2" t="inlineStr">
        <is>
          <t>Yes</t>
        </is>
      </c>
      <c r="J177" s="2" t="inlineStr">
        <is>
          <t>L</t>
        </is>
      </c>
      <c r="K177" s="2" t="inlineStr">
        <is>
          <t>AUM TBC.</t>
        </is>
      </c>
    </row>
    <row r="178" ht="15" customHeight="1" s="26">
      <c r="A178" s="2" t="inlineStr">
        <is>
          <t>Zimbabwe</t>
        </is>
      </c>
      <c r="B178" s="2" t="inlineStr">
        <is>
          <t>Standard Chartered Zimbabwe Staff Pension</t>
        </is>
      </c>
      <c r="C178" s="2" t="inlineStr">
        <is>
          <t>Corporate (banking)</t>
        </is>
      </c>
      <c r="D178" s="2" t="inlineStr">
        <is>
          <t>various</t>
        </is>
      </c>
      <c r="E178" s="2" t="n">
        <v>80</v>
      </c>
      <c r="F178" s="2" t="n">
        <v>2023</v>
      </c>
      <c r="G178" s="2" t="inlineStr">
        <is>
          <t>USD</t>
        </is>
      </c>
      <c r="H178" s="2" t="inlineStr">
        <is>
          <t>IPEC</t>
        </is>
      </c>
      <c r="I178" s="2" t="inlineStr">
        <is>
          <t>Yes</t>
        </is>
      </c>
      <c r="J178" s="2" t="inlineStr">
        <is>
          <t>L</t>
        </is>
      </c>
      <c r="K178" s="2" t="inlineStr">
        <is>
          <t>AUM TBC.</t>
        </is>
      </c>
    </row>
    <row r="179" ht="15" customHeight="1" s="26">
      <c r="A179" s="2" t="inlineStr">
        <is>
          <t>Zimbabwe</t>
        </is>
      </c>
      <c r="B179" s="2" t="inlineStr">
        <is>
          <t>ZB Bank Staff Pension Fund</t>
        </is>
      </c>
      <c r="C179" s="2" t="inlineStr">
        <is>
          <t>Corporate (banking)</t>
        </is>
      </c>
      <c r="D179" s="2" t="inlineStr">
        <is>
          <t>various</t>
        </is>
      </c>
      <c r="E179" s="2" t="n">
        <v>60</v>
      </c>
      <c r="F179" s="2" t="n">
        <v>2023</v>
      </c>
      <c r="G179" s="2" t="inlineStr">
        <is>
          <t>USD</t>
        </is>
      </c>
      <c r="H179" s="2" t="inlineStr">
        <is>
          <t>IPEC</t>
        </is>
      </c>
      <c r="I179" s="2" t="inlineStr">
        <is>
          <t>Yes</t>
        </is>
      </c>
      <c r="J179" s="2" t="inlineStr">
        <is>
          <t>L</t>
        </is>
      </c>
      <c r="K179" s="2" t="inlineStr">
        <is>
          <t>AUM TBC.</t>
        </is>
      </c>
    </row>
    <row r="180" ht="15" customHeight="1" s="26">
      <c r="A180" s="2" t="inlineStr">
        <is>
          <t>Botswana</t>
        </is>
      </c>
      <c r="B180" s="2" t="inlineStr">
        <is>
          <t>Botswana Telecommunications Corporation (BTC) Pension</t>
        </is>
      </c>
      <c r="C180" s="2" t="inlineStr">
        <is>
          <t>Parastatal</t>
        </is>
      </c>
      <c r="D180" s="2" t="inlineStr">
        <is>
          <t>various</t>
        </is>
      </c>
      <c r="E180" s="2" t="n">
        <v>200</v>
      </c>
      <c r="F180" s="2" t="n">
        <v>2023</v>
      </c>
      <c r="G180" s="2" t="inlineStr">
        <is>
          <t>BWP</t>
        </is>
      </c>
      <c r="H180" s="2" t="inlineStr">
        <is>
          <t>NBFIRA</t>
        </is>
      </c>
      <c r="I180" s="2" t="inlineStr">
        <is>
          <t>Yes</t>
        </is>
      </c>
      <c r="J180" s="2" t="inlineStr">
        <is>
          <t>M</t>
        </is>
      </c>
      <c r="K180" s="2" t="n"/>
    </row>
    <row r="181" ht="15" customHeight="1" s="26">
      <c r="A181" s="2" t="inlineStr">
        <is>
          <t>Botswana</t>
        </is>
      </c>
      <c r="B181" s="2" t="inlineStr">
        <is>
          <t>Botswana Power Corporation (BPC) Pension Fund</t>
        </is>
      </c>
      <c r="C181" s="2" t="inlineStr">
        <is>
          <t>Parastatal</t>
        </is>
      </c>
      <c r="D181" s="2" t="inlineStr">
        <is>
          <t>various</t>
        </is>
      </c>
      <c r="E181" s="2" t="n">
        <v>250</v>
      </c>
      <c r="F181" s="2" t="n">
        <v>2023</v>
      </c>
      <c r="G181" s="2" t="inlineStr">
        <is>
          <t>BWP</t>
        </is>
      </c>
      <c r="H181" s="2" t="inlineStr">
        <is>
          <t>NBFIRA</t>
        </is>
      </c>
      <c r="I181" s="2" t="inlineStr">
        <is>
          <t>Yes</t>
        </is>
      </c>
      <c r="J181" s="2" t="inlineStr">
        <is>
          <t>M</t>
        </is>
      </c>
      <c r="K181" s="2" t="n"/>
    </row>
    <row r="182" ht="15" customHeight="1" s="26">
      <c r="A182" s="2" t="inlineStr">
        <is>
          <t>Botswana</t>
        </is>
      </c>
      <c r="B182" s="2" t="inlineStr">
        <is>
          <t>Botswana Railways Staff Pension</t>
        </is>
      </c>
      <c r="C182" s="2" t="inlineStr">
        <is>
          <t>Parastatal</t>
        </is>
      </c>
      <c r="D182" s="2" t="inlineStr">
        <is>
          <t>various</t>
        </is>
      </c>
      <c r="E182" s="2" t="n">
        <v>100</v>
      </c>
      <c r="F182" s="2" t="n">
        <v>2023</v>
      </c>
      <c r="G182" s="2" t="inlineStr">
        <is>
          <t>BWP</t>
        </is>
      </c>
      <c r="H182" s="2" t="inlineStr">
        <is>
          <t>NBFIRA</t>
        </is>
      </c>
      <c r="I182" s="2" t="inlineStr">
        <is>
          <t>Yes</t>
        </is>
      </c>
      <c r="J182" s="2" t="inlineStr">
        <is>
          <t>L</t>
        </is>
      </c>
      <c r="K182" s="2" t="inlineStr">
        <is>
          <t>AUM TBC.</t>
        </is>
      </c>
    </row>
    <row r="183" ht="15" customHeight="1" s="26">
      <c r="A183" s="2" t="inlineStr">
        <is>
          <t>Botswana</t>
        </is>
      </c>
      <c r="B183" s="2" t="inlineStr">
        <is>
          <t>BotswanaPost Pension Fund</t>
        </is>
      </c>
      <c r="C183" s="2" t="inlineStr">
        <is>
          <t>Parastatal</t>
        </is>
      </c>
      <c r="D183" s="2" t="inlineStr">
        <is>
          <t>various</t>
        </is>
      </c>
      <c r="E183" s="2" t="n">
        <v>80</v>
      </c>
      <c r="F183" s="2" t="n">
        <v>2023</v>
      </c>
      <c r="G183" s="2" t="inlineStr">
        <is>
          <t>BWP</t>
        </is>
      </c>
      <c r="H183" s="2" t="inlineStr">
        <is>
          <t>NBFIRA</t>
        </is>
      </c>
      <c r="I183" s="2" t="inlineStr">
        <is>
          <t>Yes</t>
        </is>
      </c>
      <c r="J183" s="2" t="inlineStr">
        <is>
          <t>L</t>
        </is>
      </c>
      <c r="K183" s="2" t="inlineStr">
        <is>
          <t>AUM TBC.</t>
        </is>
      </c>
    </row>
    <row r="184" ht="15" customHeight="1" s="26">
      <c r="A184" s="2" t="inlineStr">
        <is>
          <t>Botswana</t>
        </is>
      </c>
      <c r="B184" s="2" t="inlineStr">
        <is>
          <t>Air Botswana Pension Fund</t>
        </is>
      </c>
      <c r="C184" s="2" t="inlineStr">
        <is>
          <t>Parastatal</t>
        </is>
      </c>
      <c r="D184" s="2" t="inlineStr">
        <is>
          <t>various</t>
        </is>
      </c>
      <c r="E184" s="2" t="n">
        <v>50</v>
      </c>
      <c r="F184" s="2" t="n">
        <v>2023</v>
      </c>
      <c r="G184" s="2" t="inlineStr">
        <is>
          <t>BWP</t>
        </is>
      </c>
      <c r="H184" s="2" t="inlineStr">
        <is>
          <t>NBFIRA</t>
        </is>
      </c>
      <c r="I184" s="2" t="inlineStr">
        <is>
          <t>Yes</t>
        </is>
      </c>
      <c r="J184" s="2" t="inlineStr">
        <is>
          <t>L</t>
        </is>
      </c>
      <c r="K184" s="2" t="inlineStr">
        <is>
          <t>AUM TBC.</t>
        </is>
      </c>
    </row>
    <row r="185" ht="23.25" customHeight="1" s="26">
      <c r="A185" s="2" t="inlineStr">
        <is>
          <t>Namibia</t>
        </is>
      </c>
      <c r="B185" s="2" t="inlineStr">
        <is>
          <t>Benchmark Retirement Fund (umbrella)</t>
        </is>
      </c>
      <c r="C185" s="2" t="inlineStr">
        <is>
          <t>Umbrella DC</t>
        </is>
      </c>
      <c r="D185" s="2" t="n">
        <v>2000</v>
      </c>
      <c r="E185" s="2" t="n">
        <v>1500</v>
      </c>
      <c r="F185" s="2" t="n">
        <v>2024</v>
      </c>
      <c r="G185" s="2" t="inlineStr">
        <is>
          <t>NAD</t>
        </is>
      </c>
      <c r="H185" s="2" t="inlineStr">
        <is>
          <t>NAMFISA</t>
        </is>
      </c>
      <c r="I185" s="2" t="inlineStr">
        <is>
          <t>Yes</t>
        </is>
      </c>
      <c r="J185" s="2" t="inlineStr">
        <is>
          <t>M</t>
        </is>
      </c>
      <c r="K185" s="2" t="inlineStr">
        <is>
          <t>Largest umbrella fund in Namibia; sponsored by RFS Fund Administrators.</t>
        </is>
      </c>
    </row>
    <row r="186" ht="15" customHeight="1" s="26">
      <c r="A186" s="2" t="inlineStr">
        <is>
          <t>Namibia</t>
        </is>
      </c>
      <c r="B186" s="2" t="inlineStr">
        <is>
          <t>NamPower Provident Fund</t>
        </is>
      </c>
      <c r="C186" s="2" t="inlineStr">
        <is>
          <t>Parastatal (electricity)</t>
        </is>
      </c>
      <c r="D186" s="2" t="inlineStr">
        <is>
          <t>various</t>
        </is>
      </c>
      <c r="E186" s="2" t="n">
        <v>400</v>
      </c>
      <c r="F186" s="2" t="n">
        <v>2023</v>
      </c>
      <c r="G186" s="2" t="inlineStr">
        <is>
          <t>NAD</t>
        </is>
      </c>
      <c r="H186" s="2" t="inlineStr">
        <is>
          <t>NAMFISA</t>
        </is>
      </c>
      <c r="I186" s="2" t="inlineStr">
        <is>
          <t>Yes</t>
        </is>
      </c>
      <c r="J186" s="2" t="inlineStr">
        <is>
          <t>M</t>
        </is>
      </c>
      <c r="K186" s="2" t="n"/>
    </row>
    <row r="187" ht="15" customHeight="1" s="26">
      <c r="A187" s="2" t="inlineStr">
        <is>
          <t>Namibia</t>
        </is>
      </c>
      <c r="B187" s="2" t="inlineStr">
        <is>
          <t>Telecom Namibia Retirement Fund</t>
        </is>
      </c>
      <c r="C187" s="2" t="inlineStr">
        <is>
          <t>Parastatal (telecoms)</t>
        </is>
      </c>
      <c r="D187" s="2" t="inlineStr">
        <is>
          <t>various</t>
        </is>
      </c>
      <c r="E187" s="2" t="n">
        <v>250</v>
      </c>
      <c r="F187" s="2" t="n">
        <v>2023</v>
      </c>
      <c r="G187" s="2" t="inlineStr">
        <is>
          <t>NAD</t>
        </is>
      </c>
      <c r="H187" s="2" t="inlineStr">
        <is>
          <t>NAMFISA</t>
        </is>
      </c>
      <c r="I187" s="2" t="inlineStr">
        <is>
          <t>Yes</t>
        </is>
      </c>
      <c r="J187" s="2" t="inlineStr">
        <is>
          <t>M</t>
        </is>
      </c>
      <c r="K187" s="2" t="n"/>
    </row>
    <row r="188" ht="15" customHeight="1" s="26">
      <c r="A188" s="2" t="inlineStr">
        <is>
          <t>Namibia</t>
        </is>
      </c>
      <c r="B188" s="2" t="inlineStr">
        <is>
          <t>Bank Windhoek / Capricorn Group Pension</t>
        </is>
      </c>
      <c r="C188" s="2" t="inlineStr">
        <is>
          <t>Corporate (banking)</t>
        </is>
      </c>
      <c r="D188" s="2" t="inlineStr">
        <is>
          <t>various</t>
        </is>
      </c>
      <c r="E188" s="2" t="n">
        <v>200</v>
      </c>
      <c r="F188" s="2" t="n">
        <v>2023</v>
      </c>
      <c r="G188" s="2" t="inlineStr">
        <is>
          <t>NAD</t>
        </is>
      </c>
      <c r="H188" s="2" t="inlineStr">
        <is>
          <t>NAMFISA</t>
        </is>
      </c>
      <c r="I188" s="2" t="inlineStr">
        <is>
          <t>Yes</t>
        </is>
      </c>
      <c r="J188" s="2" t="inlineStr">
        <is>
          <t>M</t>
        </is>
      </c>
      <c r="K188" s="2" t="n"/>
    </row>
    <row r="189" ht="15" customHeight="1" s="26">
      <c r="A189" s="2" t="inlineStr">
        <is>
          <t>Namibia</t>
        </is>
      </c>
      <c r="B189" s="2" t="inlineStr">
        <is>
          <t>Standard Bank Namibia Staff Pension</t>
        </is>
      </c>
      <c r="C189" s="2" t="inlineStr">
        <is>
          <t>Corporate (banking)</t>
        </is>
      </c>
      <c r="D189" s="2" t="inlineStr">
        <is>
          <t>various</t>
        </is>
      </c>
      <c r="E189" s="2" t="n">
        <v>150</v>
      </c>
      <c r="F189" s="2" t="n">
        <v>2023</v>
      </c>
      <c r="G189" s="2" t="inlineStr">
        <is>
          <t>NAD</t>
        </is>
      </c>
      <c r="H189" s="2" t="inlineStr">
        <is>
          <t>NAMFISA</t>
        </is>
      </c>
      <c r="I189" s="2" t="inlineStr">
        <is>
          <t>Yes</t>
        </is>
      </c>
      <c r="J189" s="2" t="inlineStr">
        <is>
          <t>L</t>
        </is>
      </c>
      <c r="K189" s="2" t="inlineStr">
        <is>
          <t>AUM TBC.</t>
        </is>
      </c>
    </row>
    <row r="190" ht="15" customHeight="1" s="26">
      <c r="A190" s="2" t="inlineStr">
        <is>
          <t>Namibia</t>
        </is>
      </c>
      <c r="B190" s="2" t="inlineStr">
        <is>
          <t>Sanlam Umbrella Pension Fund (Namibia)</t>
        </is>
      </c>
      <c r="C190" s="2" t="inlineStr">
        <is>
          <t>Umbrella DC</t>
        </is>
      </c>
      <c r="D190" s="2" t="inlineStr">
        <is>
          <t>—</t>
        </is>
      </c>
      <c r="E190" s="2" t="n">
        <v>400</v>
      </c>
      <c r="F190" s="2" t="n">
        <v>2024</v>
      </c>
      <c r="G190" s="2" t="inlineStr">
        <is>
          <t>NAD</t>
        </is>
      </c>
      <c r="H190" s="2" t="inlineStr">
        <is>
          <t>NAMFISA</t>
        </is>
      </c>
      <c r="I190" s="2" t="inlineStr">
        <is>
          <t>Yes</t>
        </is>
      </c>
      <c r="J190" s="2" t="inlineStr">
        <is>
          <t>M</t>
        </is>
      </c>
      <c r="K190" s="2" t="n"/>
    </row>
    <row r="191" ht="15" customHeight="1" s="26">
      <c r="A191" s="2" t="inlineStr">
        <is>
          <t>Mauritius</t>
        </is>
      </c>
      <c r="B191" s="2" t="inlineStr">
        <is>
          <t>Mauritius Commercial Bank (MCB) Pension Fund</t>
        </is>
      </c>
      <c r="C191" s="2" t="inlineStr">
        <is>
          <t>Corporate (banking)</t>
        </is>
      </c>
      <c r="D191" s="2" t="inlineStr">
        <is>
          <t>various</t>
        </is>
      </c>
      <c r="E191" s="2" t="n">
        <v>400</v>
      </c>
      <c r="F191" s="2" t="n">
        <v>2024</v>
      </c>
      <c r="G191" s="2" t="inlineStr">
        <is>
          <t>MUR</t>
        </is>
      </c>
      <c r="H191" s="2" t="inlineStr">
        <is>
          <t>FSC</t>
        </is>
      </c>
      <c r="I191" s="2" t="inlineStr">
        <is>
          <t>Yes</t>
        </is>
      </c>
      <c r="J191" s="2" t="inlineStr">
        <is>
          <t>M</t>
        </is>
      </c>
      <c r="K191" s="2" t="inlineStr">
        <is>
          <t>Largest private corporate pension in Mauritius.</t>
        </is>
      </c>
    </row>
    <row r="192" ht="15" customHeight="1" s="26">
      <c r="A192" s="2" t="inlineStr">
        <is>
          <t>Mauritius</t>
        </is>
      </c>
      <c r="B192" s="2" t="inlineStr">
        <is>
          <t>State Bank of Mauritius (SBM) Pension Fund</t>
        </is>
      </c>
      <c r="C192" s="2" t="inlineStr">
        <is>
          <t>Corporate (banking)</t>
        </is>
      </c>
      <c r="D192" s="2" t="inlineStr">
        <is>
          <t>various</t>
        </is>
      </c>
      <c r="E192" s="2" t="n">
        <v>200</v>
      </c>
      <c r="F192" s="2" t="n">
        <v>2023</v>
      </c>
      <c r="G192" s="2" t="inlineStr">
        <is>
          <t>MUR</t>
        </is>
      </c>
      <c r="H192" s="2" t="inlineStr">
        <is>
          <t>FSC</t>
        </is>
      </c>
      <c r="I192" s="2" t="inlineStr">
        <is>
          <t>Yes</t>
        </is>
      </c>
      <c r="J192" s="2" t="inlineStr">
        <is>
          <t>M</t>
        </is>
      </c>
      <c r="K192" s="2" t="n"/>
    </row>
    <row r="193" ht="15" customHeight="1" s="26">
      <c r="A193" s="2" t="inlineStr">
        <is>
          <t>Mauritius</t>
        </is>
      </c>
      <c r="B193" s="2" t="inlineStr">
        <is>
          <t>Air Mauritius Pension Fund</t>
        </is>
      </c>
      <c r="C193" s="2" t="inlineStr">
        <is>
          <t>Parastatal</t>
        </is>
      </c>
      <c r="D193" s="2" t="inlineStr">
        <is>
          <t>various</t>
        </is>
      </c>
      <c r="E193" s="2" t="n">
        <v>150</v>
      </c>
      <c r="F193" s="2" t="n">
        <v>2023</v>
      </c>
      <c r="G193" s="2" t="inlineStr">
        <is>
          <t>MUR</t>
        </is>
      </c>
      <c r="H193" s="2" t="inlineStr">
        <is>
          <t>FSC</t>
        </is>
      </c>
      <c r="I193" s="2" t="inlineStr">
        <is>
          <t>Yes</t>
        </is>
      </c>
      <c r="J193" s="2" t="inlineStr">
        <is>
          <t>L</t>
        </is>
      </c>
      <c r="K193" s="2" t="inlineStr">
        <is>
          <t>AUM TBC.</t>
        </is>
      </c>
    </row>
    <row r="194" ht="15" customHeight="1" s="26">
      <c r="A194" s="2" t="inlineStr">
        <is>
          <t>Mauritius</t>
        </is>
      </c>
      <c r="B194" s="2" t="inlineStr">
        <is>
          <t>CIM Financial Services Pension Fund</t>
        </is>
      </c>
      <c r="C194" s="2" t="inlineStr">
        <is>
          <t>Corporate</t>
        </is>
      </c>
      <c r="D194" s="2" t="inlineStr">
        <is>
          <t>various</t>
        </is>
      </c>
      <c r="E194" s="2" t="n">
        <v>120</v>
      </c>
      <c r="F194" s="2" t="n">
        <v>2023</v>
      </c>
      <c r="G194" s="2" t="inlineStr">
        <is>
          <t>MUR</t>
        </is>
      </c>
      <c r="H194" s="2" t="inlineStr">
        <is>
          <t>FSC</t>
        </is>
      </c>
      <c r="I194" s="2" t="inlineStr">
        <is>
          <t>Yes</t>
        </is>
      </c>
      <c r="J194" s="2" t="inlineStr">
        <is>
          <t>L</t>
        </is>
      </c>
      <c r="K194" s="2" t="inlineStr">
        <is>
          <t>AUM TBC.</t>
        </is>
      </c>
    </row>
    <row r="195" ht="15" customHeight="1" s="26">
      <c r="A195" s="2" t="inlineStr">
        <is>
          <t>Mauritius</t>
        </is>
      </c>
      <c r="B195" s="2" t="inlineStr">
        <is>
          <t>Anglo-Mauritius Pension Fund</t>
        </is>
      </c>
      <c r="C195" s="2" t="inlineStr">
        <is>
          <t>Corporate / industrial</t>
        </is>
      </c>
      <c r="D195" s="2" t="inlineStr">
        <is>
          <t>various</t>
        </is>
      </c>
      <c r="E195" s="2" t="n">
        <v>200</v>
      </c>
      <c r="F195" s="2" t="n">
        <v>2023</v>
      </c>
      <c r="G195" s="2" t="inlineStr">
        <is>
          <t>MUR</t>
        </is>
      </c>
      <c r="H195" s="2" t="inlineStr">
        <is>
          <t>FSC</t>
        </is>
      </c>
      <c r="I195" s="2" t="inlineStr">
        <is>
          <t>Yes</t>
        </is>
      </c>
      <c r="J195" s="2" t="inlineStr">
        <is>
          <t>L</t>
        </is>
      </c>
      <c r="K195" s="2" t="inlineStr">
        <is>
          <t>AUM TBC.</t>
        </is>
      </c>
    </row>
    <row r="196" ht="15" customHeight="1" s="26">
      <c r="A196" s="2" t="inlineStr">
        <is>
          <t>Zambia</t>
        </is>
      </c>
      <c r="B196" s="2" t="inlineStr">
        <is>
          <t>ZCCM Investments Holdings Pension Scheme</t>
        </is>
      </c>
      <c r="C196" s="2" t="inlineStr">
        <is>
          <t>Parastatal (mining)</t>
        </is>
      </c>
      <c r="D196" s="2" t="inlineStr">
        <is>
          <t>various</t>
        </is>
      </c>
      <c r="E196" s="2" t="n">
        <v>300</v>
      </c>
      <c r="F196" s="2" t="n">
        <v>2023</v>
      </c>
      <c r="G196" s="2" t="inlineStr">
        <is>
          <t>ZMW</t>
        </is>
      </c>
      <c r="H196" s="2" t="inlineStr">
        <is>
          <t>PIA</t>
        </is>
      </c>
      <c r="I196" s="2" t="inlineStr">
        <is>
          <t>Yes</t>
        </is>
      </c>
      <c r="J196" s="2" t="inlineStr">
        <is>
          <t>M</t>
        </is>
      </c>
      <c r="K196" s="2" t="inlineStr">
        <is>
          <t>Mining-parastatal scheme.</t>
        </is>
      </c>
    </row>
    <row r="197" ht="15" customHeight="1" s="26">
      <c r="A197" s="2" t="inlineStr">
        <is>
          <t>Zambia</t>
        </is>
      </c>
      <c r="B197" s="2" t="inlineStr">
        <is>
          <t>Mukuba Pension Trust</t>
        </is>
      </c>
      <c r="C197" s="2" t="inlineStr">
        <is>
          <t>Multi-employer / trustee</t>
        </is>
      </c>
      <c r="D197" s="2" t="inlineStr">
        <is>
          <t>various</t>
        </is>
      </c>
      <c r="E197" s="2" t="n">
        <v>200</v>
      </c>
      <c r="F197" s="2" t="n">
        <v>2023</v>
      </c>
      <c r="G197" s="2" t="inlineStr">
        <is>
          <t>ZMW</t>
        </is>
      </c>
      <c r="H197" s="2" t="inlineStr">
        <is>
          <t>PIA</t>
        </is>
      </c>
      <c r="I197" s="2" t="inlineStr">
        <is>
          <t>Yes</t>
        </is>
      </c>
      <c r="J197" s="2" t="inlineStr">
        <is>
          <t>M</t>
        </is>
      </c>
      <c r="K197" s="2" t="n"/>
    </row>
    <row r="198" ht="15" customHeight="1" s="26">
      <c r="A198" s="2" t="inlineStr">
        <is>
          <t>Zambia</t>
        </is>
      </c>
      <c r="B198" s="2" t="inlineStr">
        <is>
          <t>Saturnia Regna Pension Trust Fund</t>
        </is>
      </c>
      <c r="C198" s="2" t="inlineStr">
        <is>
          <t>Trustee (private sector)</t>
        </is>
      </c>
      <c r="D198" s="2" t="inlineStr">
        <is>
          <t>various</t>
        </is>
      </c>
      <c r="E198" s="2" t="n">
        <v>250</v>
      </c>
      <c r="F198" s="2" t="n">
        <v>2023</v>
      </c>
      <c r="G198" s="2" t="inlineStr">
        <is>
          <t>ZMW</t>
        </is>
      </c>
      <c r="H198" s="2" t="inlineStr">
        <is>
          <t>PIA</t>
        </is>
      </c>
      <c r="I198" s="2" t="inlineStr">
        <is>
          <t>Yes</t>
        </is>
      </c>
      <c r="J198" s="2" t="inlineStr">
        <is>
          <t>M</t>
        </is>
      </c>
      <c r="K198" s="2" t="n"/>
    </row>
    <row r="199" ht="15" customHeight="1" s="26">
      <c r="A199" s="2" t="inlineStr">
        <is>
          <t>Zambia</t>
        </is>
      </c>
      <c r="B199" s="2" t="inlineStr">
        <is>
          <t>ZESCO Pension Trust Scheme</t>
        </is>
      </c>
      <c r="C199" s="2" t="inlineStr">
        <is>
          <t>Parastatal (electricity)</t>
        </is>
      </c>
      <c r="D199" s="2" t="inlineStr">
        <is>
          <t>various</t>
        </is>
      </c>
      <c r="E199" s="2" t="n">
        <v>200</v>
      </c>
      <c r="F199" s="2" t="n">
        <v>2023</v>
      </c>
      <c r="G199" s="2" t="inlineStr">
        <is>
          <t>ZMW</t>
        </is>
      </c>
      <c r="H199" s="2" t="inlineStr">
        <is>
          <t>PIA</t>
        </is>
      </c>
      <c r="I199" s="2" t="inlineStr">
        <is>
          <t>Yes</t>
        </is>
      </c>
      <c r="J199" s="2" t="inlineStr">
        <is>
          <t>L</t>
        </is>
      </c>
      <c r="K199" s="2" t="inlineStr">
        <is>
          <t>AUM TBC.</t>
        </is>
      </c>
    </row>
    <row r="200" ht="15" customHeight="1" s="26">
      <c r="A200" s="2" t="inlineStr">
        <is>
          <t>Zambia</t>
        </is>
      </c>
      <c r="B200" s="2" t="inlineStr">
        <is>
          <t>ZNBC Staff Pension Fund</t>
        </is>
      </c>
      <c r="C200" s="2" t="inlineStr">
        <is>
          <t>Parastatal (broadcasting)</t>
        </is>
      </c>
      <c r="D200" s="2" t="inlineStr">
        <is>
          <t>various</t>
        </is>
      </c>
      <c r="E200" s="2" t="n">
        <v>60</v>
      </c>
      <c r="F200" s="2" t="n">
        <v>2023</v>
      </c>
      <c r="G200" s="2" t="inlineStr">
        <is>
          <t>ZMW</t>
        </is>
      </c>
      <c r="H200" s="2" t="inlineStr">
        <is>
          <t>PIA</t>
        </is>
      </c>
      <c r="I200" s="2" t="inlineStr">
        <is>
          <t>Yes</t>
        </is>
      </c>
      <c r="J200" s="2" t="inlineStr">
        <is>
          <t>L</t>
        </is>
      </c>
      <c r="K200" s="2" t="inlineStr">
        <is>
          <t>AUM TBC.</t>
        </is>
      </c>
    </row>
    <row r="201" ht="15" customHeight="1" s="26">
      <c r="A201" s="2" t="inlineStr">
        <is>
          <t>Tanzania</t>
        </is>
      </c>
      <c r="B201" s="2" t="inlineStr">
        <is>
          <t>CRDB Bank Staff Pension Fund</t>
        </is>
      </c>
      <c r="C201" s="2" t="inlineStr">
        <is>
          <t>Corporate (banking)</t>
        </is>
      </c>
      <c r="D201" s="2" t="inlineStr">
        <is>
          <t>various</t>
        </is>
      </c>
      <c r="E201" s="2" t="n">
        <v>100</v>
      </c>
      <c r="F201" s="2" t="n">
        <v>2023</v>
      </c>
      <c r="G201" s="2" t="inlineStr">
        <is>
          <t>TZS</t>
        </is>
      </c>
      <c r="H201" s="2" t="inlineStr">
        <is>
          <t>SSRA</t>
        </is>
      </c>
      <c r="I201" s="2" t="inlineStr">
        <is>
          <t>Yes</t>
        </is>
      </c>
      <c r="J201" s="2" t="inlineStr">
        <is>
          <t>L</t>
        </is>
      </c>
      <c r="K201" s="2" t="inlineStr">
        <is>
          <t>AUM TBC.</t>
        </is>
      </c>
    </row>
    <row r="202" ht="15" customHeight="1" s="26">
      <c r="A202" s="2" t="inlineStr">
        <is>
          <t>Tanzania</t>
        </is>
      </c>
      <c r="B202" s="2" t="inlineStr">
        <is>
          <t>NMB Bank Staff Retirement Benefits</t>
        </is>
      </c>
      <c r="C202" s="2" t="inlineStr">
        <is>
          <t>Corporate (banking)</t>
        </is>
      </c>
      <c r="D202" s="2" t="inlineStr">
        <is>
          <t>various</t>
        </is>
      </c>
      <c r="E202" s="2" t="n">
        <v>100</v>
      </c>
      <c r="F202" s="2" t="n">
        <v>2023</v>
      </c>
      <c r="G202" s="2" t="inlineStr">
        <is>
          <t>TZS</t>
        </is>
      </c>
      <c r="H202" s="2" t="inlineStr">
        <is>
          <t>SSRA</t>
        </is>
      </c>
      <c r="I202" s="2" t="inlineStr">
        <is>
          <t>Yes</t>
        </is>
      </c>
      <c r="J202" s="2" t="inlineStr">
        <is>
          <t>L</t>
        </is>
      </c>
      <c r="K202" s="2" t="inlineStr">
        <is>
          <t>AUM TBC.</t>
        </is>
      </c>
    </row>
    <row r="203" ht="15" customHeight="1" s="26">
      <c r="A203" s="2" t="inlineStr">
        <is>
          <t>Tanzania</t>
        </is>
      </c>
      <c r="B203" s="2" t="inlineStr">
        <is>
          <t>TANESCO Staff Pension Scheme</t>
        </is>
      </c>
      <c r="C203" s="2" t="inlineStr">
        <is>
          <t>Parastatal (electricity)</t>
        </is>
      </c>
      <c r="D203" s="2" t="inlineStr">
        <is>
          <t>various</t>
        </is>
      </c>
      <c r="E203" s="2" t="n">
        <v>150</v>
      </c>
      <c r="F203" s="2" t="n">
        <v>2023</v>
      </c>
      <c r="G203" s="2" t="inlineStr">
        <is>
          <t>TZS</t>
        </is>
      </c>
      <c r="H203" s="2" t="inlineStr">
        <is>
          <t>SSRA</t>
        </is>
      </c>
      <c r="I203" s="2" t="inlineStr">
        <is>
          <t>Yes</t>
        </is>
      </c>
      <c r="J203" s="2" t="inlineStr">
        <is>
          <t>L</t>
        </is>
      </c>
      <c r="K203" s="2" t="inlineStr">
        <is>
          <t>AUM TBC.</t>
        </is>
      </c>
    </row>
    <row r="204" ht="15" customHeight="1" s="26">
      <c r="A204" s="2" t="inlineStr">
        <is>
          <t>Angola</t>
        </is>
      </c>
      <c r="B204" s="2" t="inlineStr">
        <is>
          <t>Sonangol Pension Fund</t>
        </is>
      </c>
      <c r="C204" s="2" t="inlineStr">
        <is>
          <t>Parastatal (oil)</t>
        </is>
      </c>
      <c r="D204" s="2" t="inlineStr">
        <is>
          <t>various</t>
        </is>
      </c>
      <c r="E204" s="2" t="n">
        <v>800</v>
      </c>
      <c r="F204" s="2" t="n">
        <v>2023</v>
      </c>
      <c r="G204" s="2" t="inlineStr">
        <is>
          <t>AOA/USD</t>
        </is>
      </c>
      <c r="H204" s="2" t="inlineStr">
        <is>
          <t>ARSEG</t>
        </is>
      </c>
      <c r="I204" s="2" t="inlineStr">
        <is>
          <t>Limited</t>
        </is>
      </c>
      <c r="J204" s="2" t="inlineStr">
        <is>
          <t>M</t>
        </is>
      </c>
      <c r="K204" s="2" t="inlineStr">
        <is>
          <t>Material SOE scheme; AUM approximate, disclosure limited.</t>
        </is>
      </c>
    </row>
    <row r="205" ht="15" customHeight="1" s="26">
      <c r="A205" s="2" t="inlineStr">
        <is>
          <t>Angola</t>
        </is>
      </c>
      <c r="B205" s="2" t="inlineStr">
        <is>
          <t>BAI Pension Fund (Banco Angolano de Investimentos)</t>
        </is>
      </c>
      <c r="C205" s="2" t="inlineStr">
        <is>
          <t>Corporate (banking)</t>
        </is>
      </c>
      <c r="D205" s="2" t="inlineStr">
        <is>
          <t>various</t>
        </is>
      </c>
      <c r="E205" s="2" t="n">
        <v>200</v>
      </c>
      <c r="F205" s="2" t="n">
        <v>2023</v>
      </c>
      <c r="G205" s="2" t="inlineStr">
        <is>
          <t>AOA</t>
        </is>
      </c>
      <c r="H205" s="2" t="inlineStr">
        <is>
          <t>ARSEG</t>
        </is>
      </c>
      <c r="I205" s="2" t="inlineStr">
        <is>
          <t>Limited</t>
        </is>
      </c>
      <c r="J205" s="2" t="inlineStr">
        <is>
          <t>L</t>
        </is>
      </c>
      <c r="K205" s="2" t="inlineStr">
        <is>
          <t>AUM TBC.</t>
        </is>
      </c>
    </row>
    <row r="206" ht="15" customHeight="1" s="26">
      <c r="A206" s="2" t="inlineStr">
        <is>
          <t>Angola</t>
        </is>
      </c>
      <c r="B206" s="2" t="inlineStr">
        <is>
          <t>Endiama Staff Pension Fund</t>
        </is>
      </c>
      <c r="C206" s="2" t="inlineStr">
        <is>
          <t>Parastatal (diamonds)</t>
        </is>
      </c>
      <c r="D206" s="2" t="inlineStr">
        <is>
          <t>various</t>
        </is>
      </c>
      <c r="E206" s="2" t="n">
        <v>150</v>
      </c>
      <c r="F206" s="2" t="n">
        <v>2023</v>
      </c>
      <c r="G206" s="2" t="inlineStr">
        <is>
          <t>AOA</t>
        </is>
      </c>
      <c r="H206" s="2" t="inlineStr">
        <is>
          <t>ARSEG</t>
        </is>
      </c>
      <c r="I206" s="2" t="inlineStr">
        <is>
          <t>Limited</t>
        </is>
      </c>
      <c r="J206" s="2" t="inlineStr">
        <is>
          <t>L</t>
        </is>
      </c>
      <c r="K206" s="2" t="inlineStr">
        <is>
          <t>AUM TBC.</t>
        </is>
      </c>
    </row>
    <row r="207" ht="23.25" customHeight="1" s="26">
      <c r="A207" s="2" t="inlineStr">
        <is>
          <t>Mozambique</t>
        </is>
      </c>
      <c r="B207" s="2" t="inlineStr">
        <is>
          <t>Instituto Nacional de Previdência Social dos Funcionários do Estado (INPS-FE)</t>
        </is>
      </c>
      <c r="C207" s="2" t="inlineStr">
        <is>
          <t>Civil service</t>
        </is>
      </c>
      <c r="D207" s="2" t="n">
        <v>1989</v>
      </c>
      <c r="E207" s="2" t="n">
        <v>400</v>
      </c>
      <c r="F207" s="2" t="n">
        <v>2023</v>
      </c>
      <c r="G207" s="2" t="inlineStr">
        <is>
          <t>MZN</t>
        </is>
      </c>
      <c r="H207" s="2" t="inlineStr">
        <is>
          <t>Min. Finance</t>
        </is>
      </c>
      <c r="I207" s="2" t="inlineStr">
        <is>
          <t>Limited</t>
        </is>
      </c>
      <c r="J207" s="2" t="inlineStr">
        <is>
          <t>L</t>
        </is>
      </c>
      <c r="K207" s="2" t="inlineStr">
        <is>
          <t>Civil-service pension separate from INSS.</t>
        </is>
      </c>
    </row>
    <row r="208" ht="15" customHeight="1" s="26">
      <c r="A208" s="2" t="inlineStr">
        <is>
          <t>Mozambique</t>
        </is>
      </c>
      <c r="B208" s="2" t="inlineStr">
        <is>
          <t>Petromoc Pension Fund</t>
        </is>
      </c>
      <c r="C208" s="2" t="inlineStr">
        <is>
          <t>Parastatal (oil)</t>
        </is>
      </c>
      <c r="D208" s="2" t="inlineStr">
        <is>
          <t>various</t>
        </is>
      </c>
      <c r="E208" s="2" t="n">
        <v>100</v>
      </c>
      <c r="F208" s="2" t="n">
        <v>2023</v>
      </c>
      <c r="G208" s="2" t="inlineStr">
        <is>
          <t>MZN</t>
        </is>
      </c>
      <c r="H208" s="2" t="inlineStr">
        <is>
          <t>Min. Finance</t>
        </is>
      </c>
      <c r="I208" s="2" t="inlineStr">
        <is>
          <t>Limited</t>
        </is>
      </c>
      <c r="J208" s="2" t="inlineStr">
        <is>
          <t>L</t>
        </is>
      </c>
      <c r="K208" s="2" t="inlineStr">
        <is>
          <t>AUM TBC.</t>
        </is>
      </c>
    </row>
    <row r="209" ht="15" customHeight="1" s="26">
      <c r="A209" s="2" t="inlineStr">
        <is>
          <t>Mozambique</t>
        </is>
      </c>
      <c r="B209" s="2" t="inlineStr">
        <is>
          <t>Banco de Moçambique Staff Pension</t>
        </is>
      </c>
      <c r="C209" s="2" t="inlineStr">
        <is>
          <t>Central bank</t>
        </is>
      </c>
      <c r="D209" s="2" t="inlineStr">
        <is>
          <t>various</t>
        </is>
      </c>
      <c r="E209" s="2" t="n">
        <v>80</v>
      </c>
      <c r="F209" s="2" t="n">
        <v>2023</v>
      </c>
      <c r="G209" s="2" t="inlineStr">
        <is>
          <t>MZN</t>
        </is>
      </c>
      <c r="H209" s="2" t="inlineStr">
        <is>
          <t>BM internal</t>
        </is>
      </c>
      <c r="I209" s="2" t="inlineStr">
        <is>
          <t>Limited</t>
        </is>
      </c>
      <c r="J209" s="2" t="inlineStr">
        <is>
          <t>L</t>
        </is>
      </c>
      <c r="K209" s="2" t="inlineStr">
        <is>
          <t>AUM TBC.</t>
        </is>
      </c>
    </row>
    <row r="210" ht="15" customHeight="1" s="26">
      <c r="A210" s="2" t="inlineStr">
        <is>
          <t>Eswatini</t>
        </is>
      </c>
      <c r="B210" s="2" t="inlineStr">
        <is>
          <t>Royal Eswatini Sugar Corporation Pension Fund</t>
        </is>
      </c>
      <c r="C210" s="2" t="inlineStr">
        <is>
          <t>Corporate (agribusiness)</t>
        </is>
      </c>
      <c r="D210" s="2" t="inlineStr">
        <is>
          <t>various</t>
        </is>
      </c>
      <c r="E210" s="2" t="n">
        <v>80</v>
      </c>
      <c r="F210" s="2" t="n">
        <v>2023</v>
      </c>
      <c r="G210" s="2" t="inlineStr">
        <is>
          <t>SZL</t>
        </is>
      </c>
      <c r="H210" s="2" t="inlineStr">
        <is>
          <t>FSRA</t>
        </is>
      </c>
      <c r="I210" s="2" t="inlineStr">
        <is>
          <t>Yes</t>
        </is>
      </c>
      <c r="J210" s="2" t="inlineStr">
        <is>
          <t>L</t>
        </is>
      </c>
      <c r="K210" s="2" t="inlineStr">
        <is>
          <t>AUM TBC.</t>
        </is>
      </c>
    </row>
    <row r="211" ht="15" customHeight="1" s="26">
      <c r="A211" s="2" t="inlineStr">
        <is>
          <t>Eswatini</t>
        </is>
      </c>
      <c r="B211" s="2" t="inlineStr">
        <is>
          <t>MTN Eswatini Pension Fund</t>
        </is>
      </c>
      <c r="C211" s="2" t="inlineStr">
        <is>
          <t>Corporate (telecoms)</t>
        </is>
      </c>
      <c r="D211" s="2" t="inlineStr">
        <is>
          <t>various</t>
        </is>
      </c>
      <c r="E211" s="2" t="n">
        <v>50</v>
      </c>
      <c r="F211" s="2" t="n">
        <v>2023</v>
      </c>
      <c r="G211" s="2" t="inlineStr">
        <is>
          <t>SZL</t>
        </is>
      </c>
      <c r="H211" s="2" t="inlineStr">
        <is>
          <t>FSRA</t>
        </is>
      </c>
      <c r="I211" s="2" t="inlineStr">
        <is>
          <t>Yes</t>
        </is>
      </c>
      <c r="J211" s="2" t="inlineStr">
        <is>
          <t>L</t>
        </is>
      </c>
      <c r="K211" s="2" t="inlineStr">
        <is>
          <t>AUM TBC.</t>
        </is>
      </c>
    </row>
    <row r="212" ht="15" customHeight="1" s="26">
      <c r="A212" s="2" t="inlineStr">
        <is>
          <t>Lesotho</t>
        </is>
      </c>
      <c r="B212" s="2" t="inlineStr">
        <is>
          <t>Lesotho Revenue Authority Staff Pension</t>
        </is>
      </c>
      <c r="C212" s="2" t="inlineStr">
        <is>
          <t>Parastatal</t>
        </is>
      </c>
      <c r="D212" s="2" t="inlineStr">
        <is>
          <t>various</t>
        </is>
      </c>
      <c r="E212" s="2" t="n">
        <v>60</v>
      </c>
      <c r="F212" s="2" t="n">
        <v>2023</v>
      </c>
      <c r="G212" s="2" t="inlineStr">
        <is>
          <t>LSL</t>
        </is>
      </c>
      <c r="H212" s="2" t="inlineStr">
        <is>
          <t>CBL</t>
        </is>
      </c>
      <c r="I212" s="2" t="inlineStr">
        <is>
          <t>Limited</t>
        </is>
      </c>
      <c r="J212" s="2" t="inlineStr">
        <is>
          <t>L</t>
        </is>
      </c>
      <c r="K212" s="2" t="inlineStr">
        <is>
          <t>AUM TBC.</t>
        </is>
      </c>
    </row>
    <row r="213" ht="15" customHeight="1" s="26">
      <c r="A213" s="2" t="inlineStr">
        <is>
          <t>Lesotho</t>
        </is>
      </c>
      <c r="B213" s="2" t="inlineStr">
        <is>
          <t>Standard Lesotho Bank Staff Pension</t>
        </is>
      </c>
      <c r="C213" s="2" t="inlineStr">
        <is>
          <t>Corporate (banking)</t>
        </is>
      </c>
      <c r="D213" s="2" t="inlineStr">
        <is>
          <t>various</t>
        </is>
      </c>
      <c r="E213" s="2" t="n">
        <v>40</v>
      </c>
      <c r="F213" s="2" t="n">
        <v>2023</v>
      </c>
      <c r="G213" s="2" t="inlineStr">
        <is>
          <t>LSL</t>
        </is>
      </c>
      <c r="H213" s="2" t="inlineStr">
        <is>
          <t>CBL</t>
        </is>
      </c>
      <c r="I213" s="2" t="inlineStr">
        <is>
          <t>Limited</t>
        </is>
      </c>
      <c r="J213" s="2" t="inlineStr">
        <is>
          <t>L</t>
        </is>
      </c>
      <c r="K213" s="2" t="inlineStr">
        <is>
          <t>AUM TBC.</t>
        </is>
      </c>
    </row>
    <row r="214" ht="15" customHeight="1" s="26">
      <c r="A214" s="2" t="inlineStr">
        <is>
          <t>Malawi</t>
        </is>
      </c>
      <c r="B214" s="2" t="inlineStr">
        <is>
          <t>ESCOM (Electricity Supply Commission) Pension Fund</t>
        </is>
      </c>
      <c r="C214" s="2" t="inlineStr">
        <is>
          <t>Parastatal (electricity)</t>
        </is>
      </c>
      <c r="D214" s="2" t="inlineStr">
        <is>
          <t>various</t>
        </is>
      </c>
      <c r="E214" s="2" t="n">
        <v>100</v>
      </c>
      <c r="F214" s="2" t="n">
        <v>2023</v>
      </c>
      <c r="G214" s="2" t="inlineStr">
        <is>
          <t>MWK</t>
        </is>
      </c>
      <c r="H214" s="2" t="inlineStr">
        <is>
          <t>RBM</t>
        </is>
      </c>
      <c r="I214" s="2" t="inlineStr">
        <is>
          <t>Yes</t>
        </is>
      </c>
      <c r="J214" s="2" t="inlineStr">
        <is>
          <t>L</t>
        </is>
      </c>
      <c r="K214" s="2" t="inlineStr">
        <is>
          <t>AUM TBC.</t>
        </is>
      </c>
    </row>
    <row r="215" ht="15" customHeight="1" s="26">
      <c r="A215" s="2" t="inlineStr">
        <is>
          <t>Malawi</t>
        </is>
      </c>
      <c r="B215" s="2" t="inlineStr">
        <is>
          <t>Press Trust Pension Scheme</t>
        </is>
      </c>
      <c r="C215" s="2" t="inlineStr">
        <is>
          <t>Corporate (industrial)</t>
        </is>
      </c>
      <c r="D215" s="2" t="inlineStr">
        <is>
          <t>various</t>
        </is>
      </c>
      <c r="E215" s="2" t="n">
        <v>120</v>
      </c>
      <c r="F215" s="2" t="n">
        <v>2023</v>
      </c>
      <c r="G215" s="2" t="inlineStr">
        <is>
          <t>MWK</t>
        </is>
      </c>
      <c r="H215" s="2" t="inlineStr">
        <is>
          <t>RBM</t>
        </is>
      </c>
      <c r="I215" s="2" t="inlineStr">
        <is>
          <t>Yes</t>
        </is>
      </c>
      <c r="J215" s="2" t="inlineStr">
        <is>
          <t>L</t>
        </is>
      </c>
      <c r="K215" s="2" t="inlineStr">
        <is>
          <t>AUM TBC.</t>
        </is>
      </c>
    </row>
    <row r="216" ht="15" customHeight="1" s="26">
      <c r="A216" s="2" t="inlineStr">
        <is>
          <t>Malawi</t>
        </is>
      </c>
      <c r="B216" s="2" t="inlineStr">
        <is>
          <t>National Bank of Malawi Staff Pension</t>
        </is>
      </c>
      <c r="C216" s="2" t="inlineStr">
        <is>
          <t>Corporate (banking)</t>
        </is>
      </c>
      <c r="D216" s="2" t="inlineStr">
        <is>
          <t>various</t>
        </is>
      </c>
      <c r="E216" s="2" t="n">
        <v>80</v>
      </c>
      <c r="F216" s="2" t="n">
        <v>2023</v>
      </c>
      <c r="G216" s="2" t="inlineStr">
        <is>
          <t>MWK</t>
        </is>
      </c>
      <c r="H216" s="2" t="inlineStr">
        <is>
          <t>RBM</t>
        </is>
      </c>
      <c r="I216" s="2" t="inlineStr">
        <is>
          <t>Yes</t>
        </is>
      </c>
      <c r="J216" s="2" t="inlineStr">
        <is>
          <t>L</t>
        </is>
      </c>
      <c r="K216" s="2" t="inlineStr">
        <is>
          <t>AUM TBC.</t>
        </is>
      </c>
    </row>
    <row r="217" ht="15" customHeight="1" s="26">
      <c r="A217" s="2" t="inlineStr">
        <is>
          <t>Rwanda</t>
        </is>
      </c>
      <c r="B217" s="2" t="inlineStr">
        <is>
          <t>BK Group (Bank of Kigali) Staff Pension</t>
        </is>
      </c>
      <c r="C217" s="2" t="inlineStr">
        <is>
          <t>Corporate (banking)</t>
        </is>
      </c>
      <c r="D217" s="2" t="inlineStr">
        <is>
          <t>various</t>
        </is>
      </c>
      <c r="E217" s="2" t="n">
        <v>50</v>
      </c>
      <c r="F217" s="2" t="n">
        <v>2023</v>
      </c>
      <c r="G217" s="2" t="inlineStr">
        <is>
          <t>RWF</t>
        </is>
      </c>
      <c r="H217" s="2" t="inlineStr">
        <is>
          <t>MINECOFIN / NBR</t>
        </is>
      </c>
      <c r="I217" s="2" t="inlineStr">
        <is>
          <t>Limited</t>
        </is>
      </c>
      <c r="J217" s="2" t="inlineStr">
        <is>
          <t>L</t>
        </is>
      </c>
      <c r="K217" s="2" t="inlineStr">
        <is>
          <t>AUM TBC.</t>
        </is>
      </c>
    </row>
    <row r="218" ht="15" customHeight="1" s="26">
      <c r="A218" s="2" t="inlineStr">
        <is>
          <t>Rwanda</t>
        </is>
      </c>
      <c r="B218" s="2" t="inlineStr">
        <is>
          <t>MTN Rwanda Staff Pension</t>
        </is>
      </c>
      <c r="C218" s="2" t="inlineStr">
        <is>
          <t>Corporate (telecoms)</t>
        </is>
      </c>
      <c r="D218" s="2" t="inlineStr">
        <is>
          <t>various</t>
        </is>
      </c>
      <c r="E218" s="2" t="n">
        <v>30</v>
      </c>
      <c r="F218" s="2" t="n">
        <v>2023</v>
      </c>
      <c r="G218" s="2" t="inlineStr">
        <is>
          <t>RWF</t>
        </is>
      </c>
      <c r="H218" s="2" t="inlineStr">
        <is>
          <t>MINECOFIN / NBR</t>
        </is>
      </c>
      <c r="I218" s="2" t="inlineStr">
        <is>
          <t>Limited</t>
        </is>
      </c>
      <c r="J218" s="2" t="inlineStr">
        <is>
          <t>L</t>
        </is>
      </c>
      <c r="K218" s="2" t="inlineStr">
        <is>
          <t>AUM TBC.</t>
        </is>
      </c>
    </row>
    <row r="219" ht="15" customHeight="1" s="26">
      <c r="A219" s="2" t="inlineStr">
        <is>
          <t>Sudan</t>
        </is>
      </c>
      <c r="B219" s="2" t="inlineStr">
        <is>
          <t>Public Service Pension Fund of Sudan</t>
        </is>
      </c>
      <c r="C219" s="2" t="inlineStr">
        <is>
          <t>Civil service</t>
        </is>
      </c>
      <c r="D219" s="2" t="inlineStr">
        <is>
          <t>various</t>
        </is>
      </c>
      <c r="E219" s="2" t="n">
        <v>200</v>
      </c>
      <c r="F219" s="2" t="n">
        <v>2022</v>
      </c>
      <c r="G219" s="2" t="inlineStr">
        <is>
          <t>SDG</t>
        </is>
      </c>
      <c r="H219" s="2" t="inlineStr">
        <is>
          <t>Min. Public Service</t>
        </is>
      </c>
      <c r="I219" s="2" t="inlineStr">
        <is>
          <t>Very limited</t>
        </is>
      </c>
      <c r="J219" s="2" t="inlineStr">
        <is>
          <t>L</t>
        </is>
      </c>
      <c r="K219" s="2" t="inlineStr">
        <is>
          <t>AUM TBC; conflict affects disclosure.</t>
        </is>
      </c>
    </row>
    <row r="220" ht="23.25" customHeight="1" s="26">
      <c r="A220" s="2" t="inlineStr">
        <is>
          <t>DR Congo</t>
        </is>
      </c>
      <c r="B220" s="2" t="inlineStr">
        <is>
          <t>Caisse Nationale de Sécurité Sociale des Agents Publics de l'État (CNSSAP)</t>
        </is>
      </c>
      <c r="C220" s="2" t="inlineStr">
        <is>
          <t>Civil service</t>
        </is>
      </c>
      <c r="D220" s="2" t="n">
        <v>2018</v>
      </c>
      <c r="E220" s="2" t="n">
        <v>250</v>
      </c>
      <c r="F220" s="2" t="n">
        <v>2023</v>
      </c>
      <c r="G220" s="2" t="inlineStr">
        <is>
          <t>USD</t>
        </is>
      </c>
      <c r="H220" s="2" t="inlineStr">
        <is>
          <t>Min. Civil Service</t>
        </is>
      </c>
      <c r="I220" s="2" t="inlineStr">
        <is>
          <t>Limited</t>
        </is>
      </c>
      <c r="J220" s="2" t="inlineStr">
        <is>
          <t>L</t>
        </is>
      </c>
      <c r="K220" s="2" t="inlineStr">
        <is>
          <t>Civil-service equivalent of CNSS; AUM TBC.</t>
        </is>
      </c>
    </row>
    <row r="221" ht="23.25" customHeight="1" s="26">
      <c r="A221" s="2" t="inlineStr">
        <is>
          <t>Gabon</t>
        </is>
      </c>
      <c r="B221" s="2" t="inlineStr">
        <is>
          <t>Caisse Nationale d'Assurance Maladie et de Garantie Sociale (CNAMGS)</t>
        </is>
      </c>
      <c r="C221" s="2" t="inlineStr">
        <is>
          <t>Health + social benefits</t>
        </is>
      </c>
      <c r="D221" s="2" t="n">
        <v>2007</v>
      </c>
      <c r="E221" s="2" t="n">
        <v>300</v>
      </c>
      <c r="F221" s="2" t="n">
        <v>2023</v>
      </c>
      <c r="G221" s="2" t="inlineStr">
        <is>
          <t>XAF</t>
        </is>
      </c>
      <c r="H221" s="2" t="inlineStr">
        <is>
          <t>CIPRES</t>
        </is>
      </c>
      <c r="I221" s="2" t="inlineStr">
        <is>
          <t>Limited</t>
        </is>
      </c>
      <c r="J221" s="2" t="inlineStr">
        <is>
          <t>L</t>
        </is>
      </c>
      <c r="K221" s="2" t="inlineStr">
        <is>
          <t>Primarily health insurance; included for completeness.</t>
        </is>
      </c>
    </row>
    <row r="222" ht="23.25" customHeight="1" s="26">
      <c r="A222" s="2" t="inlineStr">
        <is>
          <t>Senegal</t>
        </is>
      </c>
      <c r="B222" s="2" t="inlineStr">
        <is>
          <t>Régime de Retraite Complémentaire (managed by insurers)</t>
        </is>
      </c>
      <c r="C222" s="2" t="inlineStr">
        <is>
          <t>Complementary occupational</t>
        </is>
      </c>
      <c r="D222" s="2" t="inlineStr">
        <is>
          <t>various</t>
        </is>
      </c>
      <c r="E222" s="2" t="n">
        <v>200</v>
      </c>
      <c r="F222" s="2" t="n">
        <v>2023</v>
      </c>
      <c r="G222" s="2" t="inlineStr">
        <is>
          <t>XOF</t>
        </is>
      </c>
      <c r="H222" s="2" t="inlineStr">
        <is>
          <t>ACAPS / CIPRES</t>
        </is>
      </c>
      <c r="I222" s="2" t="inlineStr">
        <is>
          <t>Limited</t>
        </is>
      </c>
      <c r="J222" s="2" t="inlineStr">
        <is>
          <t>L</t>
        </is>
      </c>
      <c r="K222" s="2" t="inlineStr">
        <is>
          <t>Voluntary supplementary regime.</t>
        </is>
      </c>
    </row>
    <row r="223" ht="15" customHeight="1" s="26">
      <c r="A223" s="2" t="inlineStr">
        <is>
          <t>Côte d'Ivoire</t>
        </is>
      </c>
      <c r="B223" s="2" t="inlineStr">
        <is>
          <t>Régime de Retraite Complémentaire des Salariés (RRCS)</t>
        </is>
      </c>
      <c r="C223" s="2" t="inlineStr">
        <is>
          <t>Complementary occupational</t>
        </is>
      </c>
      <c r="D223" s="2" t="inlineStr">
        <is>
          <t>various</t>
        </is>
      </c>
      <c r="E223" s="2" t="n">
        <v>250</v>
      </c>
      <c r="F223" s="2" t="n">
        <v>2023</v>
      </c>
      <c r="G223" s="2" t="inlineStr">
        <is>
          <t>XOF</t>
        </is>
      </c>
      <c r="H223" s="2" t="inlineStr">
        <is>
          <t>ACAPS / CIPRES</t>
        </is>
      </c>
      <c r="I223" s="2" t="inlineStr">
        <is>
          <t>Limited</t>
        </is>
      </c>
      <c r="J223" s="2" t="inlineStr">
        <is>
          <t>L</t>
        </is>
      </c>
      <c r="K223" s="2" t="inlineStr">
        <is>
          <t>AUM TBC.</t>
        </is>
      </c>
    </row>
    <row r="224" ht="23.25" customHeight="1" s="26">
      <c r="A224" s="2" t="inlineStr">
        <is>
          <t>Tunisia</t>
        </is>
      </c>
      <c r="B224" s="2" t="inlineStr">
        <is>
          <t>Régime Complémentaire (managed by Tunisian insurers, e.g., STAR, COMAR)</t>
        </is>
      </c>
      <c r="C224" s="2" t="inlineStr">
        <is>
          <t>Complementary occupational</t>
        </is>
      </c>
      <c r="D224" s="2" t="inlineStr">
        <is>
          <t>various</t>
        </is>
      </c>
      <c r="E224" s="2" t="n">
        <v>300</v>
      </c>
      <c r="F224" s="2" t="n">
        <v>2023</v>
      </c>
      <c r="G224" s="2" t="inlineStr">
        <is>
          <t>TND</t>
        </is>
      </c>
      <c r="H224" s="2" t="inlineStr">
        <is>
          <t>CGA / Min. Social Affairs</t>
        </is>
      </c>
      <c r="I224" s="2" t="inlineStr">
        <is>
          <t>Limited</t>
        </is>
      </c>
      <c r="J224" s="2" t="inlineStr">
        <is>
          <t>L</t>
        </is>
      </c>
      <c r="K224" s="2" t="inlineStr">
        <is>
          <t>AUM TBC; voluntary supplementary regime.</t>
        </is>
      </c>
    </row>
    <row r="225" ht="23.25" customHeight="1" s="26">
      <c r="A225" s="2" t="inlineStr">
        <is>
          <t>Morocco</t>
        </is>
      </c>
      <c r="B225" s="2" t="inlineStr">
        <is>
          <t>CNRA (Caisse Nationale de Retraites et d'Assurances, managed by CDG)</t>
        </is>
      </c>
      <c r="C225" s="2" t="inlineStr">
        <is>
          <t>Insurance-based retirement</t>
        </is>
      </c>
      <c r="D225" s="2" t="n">
        <v>1944</v>
      </c>
      <c r="E225" s="2" t="n">
        <v>4000</v>
      </c>
      <c r="F225" s="2" t="n">
        <v>2024</v>
      </c>
      <c r="G225" s="2" t="inlineStr">
        <is>
          <t>MAD</t>
        </is>
      </c>
      <c r="H225" s="2" t="inlineStr">
        <is>
          <t>ACAPS</t>
        </is>
      </c>
      <c r="I225" s="2" t="inlineStr">
        <is>
          <t>Yes</t>
        </is>
      </c>
      <c r="J225" s="2" t="inlineStr">
        <is>
          <t>M</t>
        </is>
      </c>
      <c r="K225" s="2" t="inlineStr">
        <is>
          <t>Manages individual retirement contracts and SOE retirement payments; subsidiary of CDG.</t>
        </is>
      </c>
    </row>
    <row r="226" ht="15" customHeight="1" s="26">
      <c r="A226" s="2" t="inlineStr">
        <is>
          <t>Morocco</t>
        </is>
      </c>
      <c r="B226" s="2" t="inlineStr">
        <is>
          <t>AlAmane Capital / smaller corporate retirement contracts</t>
        </is>
      </c>
      <c r="C226" s="2" t="inlineStr">
        <is>
          <t>Corporate</t>
        </is>
      </c>
      <c r="D226" s="2" t="inlineStr">
        <is>
          <t>various</t>
        </is>
      </c>
      <c r="E226" s="2" t="n">
        <v>500</v>
      </c>
      <c r="F226" s="2" t="n">
        <v>2023</v>
      </c>
      <c r="G226" s="2" t="inlineStr">
        <is>
          <t>MAD</t>
        </is>
      </c>
      <c r="H226" s="2" t="inlineStr">
        <is>
          <t>ACAPS</t>
        </is>
      </c>
      <c r="I226" s="2" t="inlineStr">
        <is>
          <t>Limited</t>
        </is>
      </c>
      <c r="J226" s="2" t="inlineStr">
        <is>
          <t>L</t>
        </is>
      </c>
      <c r="K226" s="2" t="inlineStr">
        <is>
          <t>AUM TBC; aggregation of smaller corporate retirement plans.</t>
        </is>
      </c>
    </row>
    <row r="227" ht="15" customHeight="1" s="26">
      <c r="A227" s="2" t="inlineStr">
        <is>
          <t>Ethiopia</t>
        </is>
      </c>
      <c r="B227" s="2" t="inlineStr">
        <is>
          <t>Commercial Bank of Ethiopia (CBE) Staff Pension</t>
        </is>
      </c>
      <c r="C227" s="2" t="inlineStr">
        <is>
          <t>Parastatal (banking)</t>
        </is>
      </c>
      <c r="D227" s="2" t="inlineStr">
        <is>
          <t>various</t>
        </is>
      </c>
      <c r="E227" s="2" t="n">
        <v>250</v>
      </c>
      <c r="F227" s="2" t="n">
        <v>2023</v>
      </c>
      <c r="G227" s="2" t="inlineStr">
        <is>
          <t>ETB</t>
        </is>
      </c>
      <c r="H227" s="2" t="inlineStr">
        <is>
          <t>MoF</t>
        </is>
      </c>
      <c r="I227" s="2" t="inlineStr">
        <is>
          <t>Limited</t>
        </is>
      </c>
      <c r="J227" s="2" t="inlineStr">
        <is>
          <t>L</t>
        </is>
      </c>
      <c r="K227" s="2" t="inlineStr">
        <is>
          <t>AUM TBC; largest bank in Ethiopia.</t>
        </is>
      </c>
    </row>
    <row r="228" ht="15" customHeight="1" s="26">
      <c r="A228" s="2" t="inlineStr">
        <is>
          <t>Ethiopia</t>
        </is>
      </c>
      <c r="B228" s="2" t="inlineStr">
        <is>
          <t>Ethio Telecom Staff Pension</t>
        </is>
      </c>
      <c r="C228" s="2" t="inlineStr">
        <is>
          <t>Parastatal (telecoms)</t>
        </is>
      </c>
      <c r="D228" s="2" t="inlineStr">
        <is>
          <t>various</t>
        </is>
      </c>
      <c r="E228" s="2" t="n">
        <v>200</v>
      </c>
      <c r="F228" s="2" t="n">
        <v>2023</v>
      </c>
      <c r="G228" s="2" t="inlineStr">
        <is>
          <t>ETB</t>
        </is>
      </c>
      <c r="H228" s="2" t="inlineStr">
        <is>
          <t>MoF</t>
        </is>
      </c>
      <c r="I228" s="2" t="inlineStr">
        <is>
          <t>Limited</t>
        </is>
      </c>
      <c r="J228" s="2" t="inlineStr">
        <is>
          <t>L</t>
        </is>
      </c>
      <c r="K228" s="2" t="inlineStr">
        <is>
          <t>AUM TBC.</t>
        </is>
      </c>
    </row>
    <row r="229" ht="34.5" customHeight="1" s="26">
      <c r="A229" s="2" t="inlineStr">
        <is>
          <t>Gabon</t>
        </is>
      </c>
      <c r="B229" s="2" t="inlineStr">
        <is>
          <t>CDC Gabon (Caisse de Dépôts et de Consignations du Gabon)</t>
        </is>
      </c>
      <c r="C229" s="2" t="inlineStr">
        <is>
          <t>State deposit / pension institution</t>
        </is>
      </c>
      <c r="D229" s="2" t="inlineStr">
        <is>
          <t>2010</t>
        </is>
      </c>
      <c r="E229" s="2" t="n">
        <v>400</v>
      </c>
      <c r="F229" s="2" t="n">
        <v>2024</v>
      </c>
      <c r="G229" s="2" t="inlineStr">
        <is>
          <t>XAF/USD</t>
        </is>
      </c>
      <c r="H229" s="2" t="inlineStr">
        <is>
          <t>Min. Finance Gabon</t>
        </is>
      </c>
      <c r="I229" s="2" t="inlineStr">
        <is>
          <t>Limited</t>
        </is>
      </c>
      <c r="J229" s="2" t="inlineStr">
        <is>
          <t>M</t>
        </is>
      </c>
      <c r="K229" s="2" t="inlineStr">
        <is>
          <t>Newly identified via AFC shareholder roster. Distinct from CNSS Gabon and FGIS; manages state deposit and pension functions per Caisse des Dépôts model. AUM estimated.</t>
        </is>
      </c>
    </row>
    <row r="230" ht="57" customHeight="1" s="26">
      <c r="A230" s="2" t="inlineStr">
        <is>
          <t>South Africa</t>
        </is>
      </c>
      <c r="B230" s="2" t="inlineStr">
        <is>
          <t>Asset Owners Forum of South Africa (AOFSA) — consortium</t>
        </is>
      </c>
      <c r="C230" s="2" t="inlineStr">
        <is>
          <t>Pension consortium (15 funds)</t>
        </is>
      </c>
      <c r="D230" s="2" t="n">
        <v>2021</v>
      </c>
      <c r="E230" s="2" t="n">
        <v>200000</v>
      </c>
      <c r="F230" s="2" t="n">
        <v>2024</v>
      </c>
      <c r="G230" s="2" t="inlineStr">
        <is>
          <t>ZAR</t>
        </is>
      </c>
      <c r="H230" s="2" t="inlineStr">
        <is>
          <t>FSCA / Batseta Council</t>
        </is>
      </c>
      <c r="I230" s="2" t="inlineStr">
        <is>
          <t>Yes</t>
        </is>
      </c>
      <c r="J230" s="2" t="inlineStr">
        <is>
          <t>H</t>
        </is>
      </c>
      <c r="K230" s="2" t="inlineStr">
        <is>
          <t>First-of-its-kind SA pension consortium. 12-15 founding members from top 20 SA pension funds. R3tn (~USD 200bn) aggregate AUM. Target R3.75bn (USD 250m) infra deployment over 5 years — EXCEEDED in first year. Modelled on KEPFIC (Kenya). Batseta secretariat; USAID + MiDA + World Bank technical support.</t>
        </is>
      </c>
    </row>
  </sheetData>
  <autoFilter ref="A1:K230"/>
  <conditionalFormatting sqref="J2:J228">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G51"/>
  <sheetViews>
    <sheetView zoomScaleNormal="100" workbookViewId="0">
      <pane ySplit="3" topLeftCell="A4" activePane="bottomLeft" state="frozen"/>
      <selection pane="bottomLeft" activeCell="A1" sqref="A1:G1"/>
    </sheetView>
  </sheetViews>
  <sheetFormatPr baseColWidth="8" defaultColWidth="8.7109375" defaultRowHeight="15"/>
  <cols>
    <col width="16" customWidth="1" style="26" min="1" max="1"/>
    <col width="38" customWidth="1" style="26" min="2" max="2"/>
    <col width="24" customWidth="1" style="26" min="3" max="3"/>
    <col width="16" customWidth="1" style="26" min="4" max="4"/>
    <col width="12" customWidth="1" style="26" min="5" max="5"/>
    <col width="36" customWidth="1" style="26" min="6" max="6"/>
    <col width="60" customWidth="1" style="26" min="7" max="7"/>
  </cols>
  <sheetData>
    <row r="1" ht="31.5" customHeight="1" s="26">
      <c r="A1" s="25" t="inlineStr">
        <is>
          <t>Tier 1 deep-dive candidates — institutions with AUM ≥ USD 2bn where alts-evidence collection should be exhaustive. These represent the bulk of African institutional capital that could realistically deploy to alts.</t>
        </is>
      </c>
    </row>
    <row r="3" ht="23.25" customHeight="1" s="26">
      <c r="A3" s="1" t="inlineStr">
        <is>
          <t>Country</t>
        </is>
      </c>
      <c r="B3" s="1" t="inlineStr">
        <is>
          <t>Institution</t>
        </is>
      </c>
      <c r="C3" s="1" t="inlineStr">
        <is>
          <t>Type</t>
        </is>
      </c>
      <c r="D3" s="1" t="inlineStr">
        <is>
          <t>AUM (USD m, approx)</t>
        </is>
      </c>
      <c r="E3" s="1" t="inlineStr">
        <is>
          <t>As-of year</t>
        </is>
      </c>
      <c r="F3" s="1" t="inlineStr">
        <is>
          <t>Why prioritised</t>
        </is>
      </c>
      <c r="G3" s="1" t="inlineStr">
        <is>
          <t>Known/expected African alts evidence</t>
        </is>
      </c>
    </row>
    <row r="4" ht="23.25" customHeight="1" s="26">
      <c r="A4" s="2" t="inlineStr">
        <is>
          <t>South Africa</t>
        </is>
      </c>
      <c r="B4" s="2" t="inlineStr">
        <is>
          <t>GEPF (managed by PIC)</t>
        </is>
      </c>
      <c r="C4" s="2" t="inlineStr">
        <is>
          <t>Public PF (DB)</t>
        </is>
      </c>
      <c r="D4" s="2" t="n">
        <v>125000</v>
      </c>
      <c r="E4" s="2" t="n">
        <v>2024</v>
      </c>
      <c r="F4" s="2" t="inlineStr">
        <is>
          <t>By far the largest African pension pool</t>
        </is>
      </c>
      <c r="G4" s="2" t="inlineStr">
        <is>
          <t>Disclosed PE/infra exposure including Africa-ex-SA via PIC's Isibaya programme; LP in DPI and other disclosed vehicles (historical).</t>
        </is>
      </c>
    </row>
    <row r="5" ht="23.25" customHeight="1" s="26">
      <c r="A5" s="2" t="inlineStr">
        <is>
          <t>Egypt</t>
        </is>
      </c>
      <c r="B5" s="2" t="inlineStr">
        <is>
          <t>NOSI / NSSA</t>
        </is>
      </c>
      <c r="C5" s="2" t="inlineStr">
        <is>
          <t>Public PF (consolidated)</t>
        </is>
      </c>
      <c r="D5" s="2" t="n">
        <v>110000</v>
      </c>
      <c r="E5" s="2" t="n">
        <v>2024</v>
      </c>
      <c r="F5" s="2" t="inlineStr">
        <is>
          <t>Largest in North Africa by AUM</t>
        </is>
      </c>
      <c r="G5" s="2" t="inlineStr">
        <is>
          <t>Predominantly EGP government securities; Africa alts exposure historically minimal but worth verifying post-2019 reforms.</t>
        </is>
      </c>
    </row>
    <row r="6" ht="23.25" customHeight="1" s="26">
      <c r="A6" s="2" t="inlineStr">
        <is>
          <t>Libya</t>
        </is>
      </c>
      <c r="B6" s="2" t="inlineStr">
        <is>
          <t>Libyan Investment Authority</t>
        </is>
      </c>
      <c r="C6" s="2" t="inlineStr">
        <is>
          <t>SWF</t>
        </is>
      </c>
      <c r="D6" s="2" t="n">
        <v>67000</v>
      </c>
      <c r="E6" s="2" t="n">
        <v>2023</v>
      </c>
      <c r="F6" s="2" t="inlineStr">
        <is>
          <t>Largest African SWF by stated AUM</t>
        </is>
      </c>
      <c r="G6" s="2" t="inlineStr">
        <is>
          <t>Mostly frozen since 2011; Pre-2011 had direct African stakes (banking, telecoms) — investigate legacy holdings.</t>
        </is>
      </c>
    </row>
    <row r="7" ht="23.25" customHeight="1" s="26">
      <c r="A7" s="2" t="inlineStr">
        <is>
          <t>Ethiopia</t>
        </is>
      </c>
      <c r="B7" s="2" t="inlineStr">
        <is>
          <t>Ethiopian Investment Holdings (EIH)</t>
        </is>
      </c>
      <c r="C7" s="2" t="inlineStr">
        <is>
          <t>Strategic SWF (SOE holding)</t>
        </is>
      </c>
      <c r="D7" s="2" t="n">
        <v>38000</v>
      </c>
      <c r="E7" s="2" t="n">
        <v>2024</v>
      </c>
      <c r="F7" s="2" t="inlineStr">
        <is>
          <t>Largest SoE consolidator</t>
        </is>
      </c>
      <c r="G7" s="2" t="inlineStr">
        <is>
          <t>AUM is book value of SOE stakes; not a traditional LP. Verify any third-party fund commitments.</t>
        </is>
      </c>
    </row>
    <row r="8" ht="15" customHeight="1" s="26">
      <c r="A8" s="2" t="inlineStr">
        <is>
          <t>Egypt</t>
        </is>
      </c>
      <c r="B8" s="2" t="inlineStr">
        <is>
          <t>NIB legacy pension assets</t>
        </is>
      </c>
      <c r="C8" s="2" t="inlineStr">
        <is>
          <t>Sovereign deposit</t>
        </is>
      </c>
      <c r="D8" s="2" t="n">
        <v>30000</v>
      </c>
      <c r="E8" s="2" t="n">
        <v>2023</v>
      </c>
      <c r="F8" s="2" t="inlineStr">
        <is>
          <t>Historic pension surplus pool</t>
        </is>
      </c>
      <c r="G8" s="2" t="inlineStr">
        <is>
          <t>Structure under reform; verify current asset mix.</t>
        </is>
      </c>
    </row>
    <row r="9" ht="23.25" customHeight="1" s="26">
      <c r="A9" s="2" t="inlineStr">
        <is>
          <t>Morocco</t>
        </is>
      </c>
      <c r="B9" s="2" t="inlineStr">
        <is>
          <t>Caisse de Dépôt et de Gestion (CDG)</t>
        </is>
      </c>
      <c r="C9" s="2" t="inlineStr">
        <is>
          <t>Sovereign + pension manager</t>
        </is>
      </c>
      <c r="D9" s="2" t="n">
        <v>28000</v>
      </c>
      <c r="E9" s="2" t="n">
        <v>2024</v>
      </c>
      <c r="F9" s="2" t="inlineStr">
        <is>
          <t>Largest French-speaking Africa allocator</t>
        </is>
      </c>
      <c r="G9" s="2" t="inlineStr">
        <is>
          <t>Confirmed LP in pan-African and Moroccan PE/infra (CDG Capital, Mediterrania Capital, AfricInvest funds).</t>
        </is>
      </c>
    </row>
    <row r="10" ht="15" customHeight="1" s="26">
      <c r="A10" s="2" t="inlineStr">
        <is>
          <t>Morocco</t>
        </is>
      </c>
      <c r="B10" s="2" t="inlineStr">
        <is>
          <t>CMR</t>
        </is>
      </c>
      <c r="C10" s="2" t="inlineStr">
        <is>
          <t>Civil-service PF</t>
        </is>
      </c>
      <c r="D10" s="2" t="n">
        <v>14500</v>
      </c>
      <c r="E10" s="2" t="n">
        <v>2024</v>
      </c>
      <c r="F10" s="2" t="inlineStr">
        <is>
          <t>Large Moroccan pension allocator</t>
        </is>
      </c>
      <c r="G10" s="2" t="inlineStr">
        <is>
          <t>Verify alts mandate; recent reform allowing higher alts limit.</t>
        </is>
      </c>
    </row>
    <row r="11" ht="15" customHeight="1" s="26">
      <c r="A11" s="2" t="inlineStr">
        <is>
          <t>Morocco</t>
        </is>
      </c>
      <c r="B11" s="2" t="inlineStr">
        <is>
          <t>RCAR (CDG-managed)</t>
        </is>
      </c>
      <c r="C11" s="2" t="inlineStr">
        <is>
          <t>Parastatal PF</t>
        </is>
      </c>
      <c r="D11" s="2" t="n">
        <v>13000</v>
      </c>
      <c r="E11" s="2" t="n">
        <v>2024</v>
      </c>
      <c r="F11" s="2" t="inlineStr">
        <is>
          <t>Large allocator under CDG</t>
        </is>
      </c>
      <c r="G11" s="2" t="inlineStr">
        <is>
          <t>Alts exposure via CDG Capital infrastructure and PE funds.</t>
        </is>
      </c>
    </row>
    <row r="12" ht="23.25" customHeight="1" s="26">
      <c r="A12" s="2" t="inlineStr">
        <is>
          <t>Egypt</t>
        </is>
      </c>
      <c r="B12" s="2" t="inlineStr">
        <is>
          <t>The Sovereign Fund of Egypt (TSFE)</t>
        </is>
      </c>
      <c r="C12" s="2" t="inlineStr">
        <is>
          <t>SWF (strategic)</t>
        </is>
      </c>
      <c r="D12" s="2" t="n">
        <v>2500</v>
      </c>
      <c r="E12" s="2" t="n">
        <v>2024</v>
      </c>
      <c r="F12" s="2" t="inlineStr">
        <is>
          <t>Active strategic investor</t>
        </is>
      </c>
      <c r="G12" s="2" t="inlineStr">
        <is>
          <t>Joint platforms with ADQ, PIF; co-investments in renewables, healthcare, fintech.</t>
        </is>
      </c>
    </row>
    <row r="13" ht="23.25" customHeight="1" s="26">
      <c r="A13" s="2" t="inlineStr">
        <is>
          <t>Namibia</t>
        </is>
      </c>
      <c r="B13" s="2" t="inlineStr">
        <is>
          <t>GIPF</t>
        </is>
      </c>
      <c r="C13" s="2" t="inlineStr">
        <is>
          <t>Public PF (DB)</t>
        </is>
      </c>
      <c r="D13" s="2" t="n">
        <v>9500</v>
      </c>
      <c r="E13" s="2" t="n">
        <v>2024</v>
      </c>
      <c r="F13" s="2" t="inlineStr">
        <is>
          <t>Among most alts-active African PFs</t>
        </is>
      </c>
      <c r="G13" s="2" t="inlineStr">
        <is>
          <t>Mandatory unlisted-investment programme; ~10% to local SME/PE managers (Stimulus, Sanlam, Eos).</t>
        </is>
      </c>
    </row>
    <row r="14" ht="15" customHeight="1" s="26">
      <c r="A14" s="2" t="inlineStr">
        <is>
          <t>Libya</t>
        </is>
      </c>
      <c r="B14" s="2" t="inlineStr">
        <is>
          <t>Social Security Fund of Libya</t>
        </is>
      </c>
      <c r="C14" s="2" t="inlineStr">
        <is>
          <t>Public PF</t>
        </is>
      </c>
      <c r="D14" s="2" t="n">
        <v>9000</v>
      </c>
      <c r="E14" s="2" t="n">
        <v>2023</v>
      </c>
      <c r="F14" s="2" t="inlineStr">
        <is>
          <t>Large but mostly domestic</t>
        </is>
      </c>
      <c r="G14" s="2" t="inlineStr">
        <is>
          <t>Limited alts beyond domestic bank deposits and real estate.</t>
        </is>
      </c>
    </row>
    <row r="15" ht="15" customHeight="1" s="26">
      <c r="A15" s="2" t="inlineStr">
        <is>
          <t>Morocco</t>
        </is>
      </c>
      <c r="B15" s="2" t="inlineStr">
        <is>
          <t>CNSS Morocco</t>
        </is>
      </c>
      <c r="C15" s="2" t="inlineStr">
        <is>
          <t>Public PF</t>
        </is>
      </c>
      <c r="D15" s="2" t="n">
        <v>8500</v>
      </c>
      <c r="E15" s="2" t="n">
        <v>2024</v>
      </c>
      <c r="F15" s="2" t="inlineStr">
        <is>
          <t>Large allocator</t>
        </is>
      </c>
      <c r="G15" s="2" t="inlineStr">
        <is>
          <t>Verify recent allocations under post-2020 reform.</t>
        </is>
      </c>
    </row>
    <row r="16" ht="15" customHeight="1" s="26">
      <c r="A16" s="2" t="inlineStr">
        <is>
          <t>Morocco</t>
        </is>
      </c>
      <c r="B16" s="2" t="inlineStr">
        <is>
          <t>CIMR</t>
        </is>
      </c>
      <c r="C16" s="2" t="inlineStr">
        <is>
          <t>Private complementary PF</t>
        </is>
      </c>
      <c r="D16" s="2" t="n">
        <v>8500</v>
      </c>
      <c r="E16" s="2" t="n">
        <v>2024</v>
      </c>
      <c r="F16" s="2" t="inlineStr">
        <is>
          <t>Active in Moroccan capital markets</t>
        </is>
      </c>
      <c r="G16" s="2" t="inlineStr">
        <is>
          <t>Verify Africa-alts exposure; primarily Moroccan.</t>
        </is>
      </c>
    </row>
    <row r="17" ht="23.25" customHeight="1" s="26">
      <c r="A17" s="2" t="inlineStr">
        <is>
          <t>Botswana</t>
        </is>
      </c>
      <c r="B17" s="2" t="inlineStr">
        <is>
          <t>Botswana Public Officers Pension Fund (BPOPF)</t>
        </is>
      </c>
      <c r="C17" s="2" t="inlineStr">
        <is>
          <t>Public PF</t>
        </is>
      </c>
      <c r="D17" s="2" t="n">
        <v>7500</v>
      </c>
      <c r="E17" s="2" t="n">
        <v>2024</v>
      </c>
      <c r="F17" s="2" t="inlineStr">
        <is>
          <t>Active alts allocator</t>
        </is>
      </c>
      <c r="G17" s="2" t="inlineStr">
        <is>
          <t>Has used mandates for African private equity (e.g., RMB, Vantage, local SA managers).</t>
        </is>
      </c>
    </row>
    <row r="18" ht="15" customHeight="1" s="26">
      <c r="A18" s="2" t="inlineStr">
        <is>
          <t>Tanzania</t>
        </is>
      </c>
      <c r="B18" s="2" t="inlineStr">
        <is>
          <t>PSSSF</t>
        </is>
      </c>
      <c r="C18" s="2" t="inlineStr">
        <is>
          <t>Consolidated public PF</t>
        </is>
      </c>
      <c r="D18" s="2" t="n">
        <v>6000</v>
      </c>
      <c r="E18" s="2" t="n">
        <v>2024</v>
      </c>
      <c r="F18" s="2" t="inlineStr">
        <is>
          <t>Largest Tanzanian PF</t>
        </is>
      </c>
      <c r="G18" s="2" t="inlineStr">
        <is>
          <t>Historically conservative; verify any alts commitments.</t>
        </is>
      </c>
    </row>
    <row r="19" ht="23.25" customHeight="1" s="26">
      <c r="A19" s="2" t="inlineStr">
        <is>
          <t>Uganda</t>
        </is>
      </c>
      <c r="B19" s="2" t="inlineStr">
        <is>
          <t>NSSF Uganda</t>
        </is>
      </c>
      <c r="C19" s="2" t="inlineStr">
        <is>
          <t>Public PF</t>
        </is>
      </c>
      <c r="D19" s="2" t="n">
        <v>5800</v>
      </c>
      <c r="E19" s="2" t="n">
        <v>2024</v>
      </c>
      <c r="F19" s="2" t="inlineStr">
        <is>
          <t>Active alts allocator, public LP commitments</t>
        </is>
      </c>
      <c r="G19" s="2" t="inlineStr">
        <is>
          <t>Disclosed commitments to PE/VC funds (Catalyst Fund II historically, etc.); verify current.</t>
        </is>
      </c>
    </row>
    <row r="20" ht="15" customHeight="1" s="26">
      <c r="A20" s="2" t="inlineStr">
        <is>
          <t>Sentinel</t>
        </is>
      </c>
      <c r="B20" s="2" t="inlineStr">
        <is>
          <t>Sentinel Retirement Fund (SA)</t>
        </is>
      </c>
      <c r="C20" s="2" t="inlineStr">
        <is>
          <t>Multi-employer PF</t>
        </is>
      </c>
      <c r="D20" s="2" t="n">
        <v>6000</v>
      </c>
      <c r="E20" s="2" t="n">
        <v>2024</v>
      </c>
      <c r="F20" s="2" t="inlineStr">
        <is>
          <t>Major SA mining-industry fund</t>
        </is>
      </c>
      <c r="G20" s="2" t="inlineStr">
        <is>
          <t>Uses alts mandate managers (Old Mutual Alternative Investments, etc.).</t>
        </is>
      </c>
    </row>
    <row r="21" ht="15" customHeight="1" s="26">
      <c r="A21" s="2" t="inlineStr">
        <is>
          <t>South Africa</t>
        </is>
      </c>
      <c r="B21" s="2" t="inlineStr">
        <is>
          <t>Transnet Retirement Fund</t>
        </is>
      </c>
      <c r="C21" s="2" t="inlineStr">
        <is>
          <t>Parastatal PF</t>
        </is>
      </c>
      <c r="D21" s="2" t="n">
        <v>5500</v>
      </c>
      <c r="E21" s="2" t="n">
        <v>2024</v>
      </c>
      <c r="F21" s="2" t="inlineStr">
        <is>
          <t>Major SA parastatal pool</t>
        </is>
      </c>
      <c r="G21" s="2" t="inlineStr">
        <is>
          <t>PIC and external alts managers.</t>
        </is>
      </c>
    </row>
    <row r="22" ht="23.25" customHeight="1" s="26">
      <c r="A22" s="2" t="inlineStr">
        <is>
          <t>Botswana</t>
        </is>
      </c>
      <c r="B22" s="2" t="inlineStr">
        <is>
          <t>Pula Fund</t>
        </is>
      </c>
      <c r="C22" s="2" t="inlineStr">
        <is>
          <t>SWF (savings)</t>
        </is>
      </c>
      <c r="D22" s="2" t="n">
        <v>5000</v>
      </c>
      <c r="E22" s="2" t="n">
        <v>2024</v>
      </c>
      <c r="F22" s="2" t="inlineStr">
        <is>
          <t>Africa's longest-running savings SWF</t>
        </is>
      </c>
      <c r="G22" s="2" t="inlineStr">
        <is>
          <t>Predominantly global fixed income and equities; minimal Africa-alts exposure.</t>
        </is>
      </c>
    </row>
    <row r="23" ht="15" customHeight="1" s="26">
      <c r="A23" s="2" t="inlineStr">
        <is>
          <t>South Africa</t>
        </is>
      </c>
      <c r="B23" s="2" t="inlineStr">
        <is>
          <t>Sanlam Umbrella Fund</t>
        </is>
      </c>
      <c r="C23" s="2" t="inlineStr">
        <is>
          <t>Umbrella DC</t>
        </is>
      </c>
      <c r="D23" s="2" t="n">
        <v>10000</v>
      </c>
      <c r="E23" s="2" t="n">
        <v>2024</v>
      </c>
      <c r="F23" s="2" t="inlineStr">
        <is>
          <t>Large umbrella DC pool</t>
        </is>
      </c>
      <c r="G23" s="2" t="inlineStr">
        <is>
          <t>Alts allocation handled by underlying portfolio managers.</t>
        </is>
      </c>
    </row>
    <row r="24" ht="15" customHeight="1" s="26">
      <c r="A24" s="2" t="inlineStr">
        <is>
          <t>South Africa</t>
        </is>
      </c>
      <c r="B24" s="2" t="inlineStr">
        <is>
          <t>Eskom Pension and Provident Fund (EPPF)</t>
        </is>
      </c>
      <c r="C24" s="2" t="inlineStr">
        <is>
          <t>Parastatal PF</t>
        </is>
      </c>
      <c r="D24" s="2" t="n">
        <v>10000</v>
      </c>
      <c r="E24" s="2" t="n">
        <v>2024</v>
      </c>
      <c r="F24" s="2" t="inlineStr">
        <is>
          <t>Major SA parastatal allocator</t>
        </is>
      </c>
      <c r="G24" s="2" t="inlineStr">
        <is>
          <t>Disclosed alts mandates including unlisted equity.</t>
        </is>
      </c>
    </row>
    <row r="25" ht="23.25" customHeight="1" s="26">
      <c r="A25" s="2" t="inlineStr">
        <is>
          <t>Ghana</t>
        </is>
      </c>
      <c r="B25" s="2" t="inlineStr">
        <is>
          <t>SSNIT</t>
        </is>
      </c>
      <c r="C25" s="2" t="inlineStr">
        <is>
          <t>Public PF (mandatory)</t>
        </is>
      </c>
      <c r="D25" s="2" t="n">
        <v>3000</v>
      </c>
      <c r="E25" s="2" t="n">
        <v>2023</v>
      </c>
      <c r="F25" s="2" t="inlineStr">
        <is>
          <t>Largest WAEMU+Ghana public PF (ex-Nigeria PFAs combined)</t>
        </is>
      </c>
      <c r="G25" s="2" t="inlineStr">
        <is>
          <t>Has made direct equity investments in Ghanaian listed/unlisted firms (banking, real estate).</t>
        </is>
      </c>
    </row>
    <row r="26" ht="23.25" customHeight="1" s="26">
      <c r="A26" s="2" t="inlineStr">
        <is>
          <t>Kenya</t>
        </is>
      </c>
      <c r="B26" s="2" t="inlineStr">
        <is>
          <t>NSSF Kenya</t>
        </is>
      </c>
      <c r="C26" s="2" t="inlineStr">
        <is>
          <t>Public PF (mandatory)</t>
        </is>
      </c>
      <c r="D26" s="2" t="n">
        <v>3200</v>
      </c>
      <c r="E26" s="2" t="n">
        <v>2024</v>
      </c>
      <c r="F26" s="2" t="inlineStr">
        <is>
          <t>Largest Kenyan PF</t>
        </is>
      </c>
      <c r="G26" s="2" t="inlineStr">
        <is>
          <t>Mostly bonds/equities; verify any PE fund commitments (historically limited).</t>
        </is>
      </c>
    </row>
    <row r="27" ht="15" customHeight="1" s="26">
      <c r="A27" s="2" t="inlineStr">
        <is>
          <t>Algeria</t>
        </is>
      </c>
      <c r="B27" s="2" t="inlineStr">
        <is>
          <t>CNR Algeria</t>
        </is>
      </c>
      <c r="C27" s="2" t="inlineStr">
        <is>
          <t>Public PF</t>
        </is>
      </c>
      <c r="D27" s="2" t="n">
        <v>3000</v>
      </c>
      <c r="E27" s="2" t="n">
        <v>2023</v>
      </c>
      <c r="F27" s="2" t="inlineStr">
        <is>
          <t>Largest Algerian PF</t>
        </is>
      </c>
      <c r="G27" s="2" t="inlineStr">
        <is>
          <t>Limited disclosure; alts likely minimal.</t>
        </is>
      </c>
    </row>
    <row r="28" ht="15" customHeight="1" s="26">
      <c r="A28" s="2" t="inlineStr">
        <is>
          <t>Mauritius</t>
        </is>
      </c>
      <c r="B28" s="2" t="inlineStr">
        <is>
          <t>National Pensions Fund (NPF)</t>
        </is>
      </c>
      <c r="C28" s="2" t="inlineStr">
        <is>
          <t>Public PF</t>
        </is>
      </c>
      <c r="D28" s="2" t="n">
        <v>3000</v>
      </c>
      <c r="E28" s="2" t="n">
        <v>2024</v>
      </c>
      <c r="F28" s="2" t="inlineStr">
        <is>
          <t>Long-established Mauritian PF</t>
        </is>
      </c>
      <c r="G28" s="2" t="inlineStr">
        <is>
          <t>Verify exposure to Mauritian-domiciled Africa funds.</t>
        </is>
      </c>
    </row>
    <row r="29" ht="34.5" customHeight="1" s="26">
      <c r="A29" s="2" t="inlineStr">
        <is>
          <t>Nigeria</t>
        </is>
      </c>
      <c r="B29" s="2" t="inlineStr">
        <is>
          <t>Stanbic IBTC Pension Managers</t>
        </is>
      </c>
      <c r="C29" s="2" t="inlineStr">
        <is>
          <t>PFA (DC)</t>
        </is>
      </c>
      <c r="D29" s="2" t="n">
        <v>3500</v>
      </c>
      <c r="E29" s="2" t="n">
        <v>2024</v>
      </c>
      <c r="F29" s="2" t="inlineStr">
        <is>
          <t>Largest Nigerian PFA</t>
        </is>
      </c>
      <c r="G29" s="2" t="inlineStr">
        <is>
          <t>PenCom Multi-Fund Structure permits alts; Stanbic has made disclosed PE/infra fund commitments (e.g., African Capital Alliance, Vetiva, Sahel Capital).</t>
        </is>
      </c>
    </row>
    <row r="30" ht="23.25" customHeight="1" s="26">
      <c r="A30" s="2" t="inlineStr">
        <is>
          <t>Angola</t>
        </is>
      </c>
      <c r="B30" s="2" t="inlineStr">
        <is>
          <t>FSDEA</t>
        </is>
      </c>
      <c r="C30" s="2" t="inlineStr">
        <is>
          <t>SWF</t>
        </is>
      </c>
      <c r="D30" s="2" t="n">
        <v>3400</v>
      </c>
      <c r="E30" s="2" t="n">
        <v>2023</v>
      </c>
      <c r="F30" s="2" t="inlineStr">
        <is>
          <t>Active African SWF</t>
        </is>
      </c>
      <c r="G30" s="2" t="inlineStr">
        <is>
          <t>Has disclosed African PE/infra exposure (Quantum Global era under prior management; new mandate post-2018).</t>
        </is>
      </c>
    </row>
    <row r="31" ht="15" customHeight="1" s="26">
      <c r="A31" s="2" t="inlineStr">
        <is>
          <t>Ethiopia</t>
        </is>
      </c>
      <c r="B31" s="2" t="inlineStr">
        <is>
          <t>POESSA</t>
        </is>
      </c>
      <c r="C31" s="2" t="inlineStr">
        <is>
          <t>Civil-service PF</t>
        </is>
      </c>
      <c r="D31" s="2" t="n">
        <v>3500</v>
      </c>
      <c r="E31" s="2" t="n">
        <v>2024</v>
      </c>
      <c r="F31" s="2" t="inlineStr">
        <is>
          <t>Largest Ethiopian PF</t>
        </is>
      </c>
      <c r="G31" s="2" t="inlineStr">
        <is>
          <t>Verify any non-government-securities allocation.</t>
        </is>
      </c>
    </row>
    <row r="32" ht="23.25" customHeight="1" s="26">
      <c r="A32" s="2" t="inlineStr">
        <is>
          <t>Zambia</t>
        </is>
      </c>
      <c r="B32" s="2" t="inlineStr">
        <is>
          <t>NAPSA</t>
        </is>
      </c>
      <c r="C32" s="2" t="inlineStr">
        <is>
          <t>Public PF (mandatory)</t>
        </is>
      </c>
      <c r="D32" s="2" t="n">
        <v>2600</v>
      </c>
      <c r="E32" s="2" t="n">
        <v>2024</v>
      </c>
      <c r="F32" s="2" t="inlineStr">
        <is>
          <t>Largest Zambian PF</t>
        </is>
      </c>
      <c r="G32" s="2" t="inlineStr">
        <is>
          <t>Has invested in domestic infrastructure (toll roads, real estate); verify PE fund commitments.</t>
        </is>
      </c>
    </row>
    <row r="33" ht="23.25" customHeight="1" s="26">
      <c r="A33" s="2" t="inlineStr">
        <is>
          <t>Nigeria</t>
        </is>
      </c>
      <c r="B33" s="2" t="inlineStr">
        <is>
          <t>NSIA</t>
        </is>
      </c>
      <c r="C33" s="2" t="inlineStr">
        <is>
          <t>SWF (3 sub-funds)</t>
        </is>
      </c>
      <c r="D33" s="2" t="n">
        <v>2900</v>
      </c>
      <c r="E33" s="2" t="n">
        <v>2023</v>
      </c>
      <c r="F33" s="2" t="inlineStr">
        <is>
          <t>Active strategic SWF</t>
        </is>
      </c>
      <c r="G33" s="2" t="inlineStr">
        <is>
          <t>NIF sub-fund has co-invested in Nigerian infra, agribusiness, healthcare; LP in PE funds (e.g., Verod, African Capital Alliance).</t>
        </is>
      </c>
    </row>
    <row r="34" ht="23.25" customHeight="1" s="26">
      <c r="A34" s="2" t="inlineStr">
        <is>
          <t>Côte d'Ivoire</t>
        </is>
      </c>
      <c r="B34" s="2" t="inlineStr">
        <is>
          <t>CGRAE</t>
        </is>
      </c>
      <c r="C34" s="2" t="inlineStr">
        <is>
          <t>Civil-service PF</t>
        </is>
      </c>
      <c r="D34" s="2" t="n">
        <v>1800</v>
      </c>
      <c r="E34" s="2" t="n">
        <v>2024</v>
      </c>
      <c r="F34" s="2" t="inlineStr">
        <is>
          <t>Largest UEMOA civil-service PF outside Senegal</t>
        </is>
      </c>
      <c r="G34" s="2" t="inlineStr">
        <is>
          <t>Verify if any alts allocation under recent reform.</t>
        </is>
      </c>
    </row>
    <row r="35" ht="23.25" customHeight="1" s="26">
      <c r="A35" s="2" t="inlineStr">
        <is>
          <t>Nigeria</t>
        </is>
      </c>
      <c r="B35" s="2" t="inlineStr">
        <is>
          <t>ARM Pension Managers</t>
        </is>
      </c>
      <c r="C35" s="2" t="inlineStr">
        <is>
          <t>PFA</t>
        </is>
      </c>
      <c r="D35" s="2" t="n">
        <v>1800</v>
      </c>
      <c r="E35" s="2" t="n">
        <v>2024</v>
      </c>
      <c r="F35" s="2" t="inlineStr">
        <is>
          <t>Top-3 Nigerian PFA</t>
        </is>
      </c>
      <c r="G35" s="2" t="inlineStr">
        <is>
          <t>ARM affiliate is a major Nigerian PE manager (ARM-Harith); intra-group commitments are an obvious starting point.</t>
        </is>
      </c>
    </row>
    <row r="36" ht="15" customHeight="1" s="26">
      <c r="A36" s="2" t="inlineStr">
        <is>
          <t>Côte d'Ivoire</t>
        </is>
      </c>
      <c r="B36" s="2" t="inlineStr">
        <is>
          <t>CNPS-CI</t>
        </is>
      </c>
      <c r="C36" s="2" t="inlineStr">
        <is>
          <t>Private-sector PF</t>
        </is>
      </c>
      <c r="D36" s="2" t="n">
        <v>1500</v>
      </c>
      <c r="E36" s="2" t="n">
        <v>2024</v>
      </c>
      <c r="F36" s="2" t="inlineStr">
        <is>
          <t>Largest UEMOA private-sector PF</t>
        </is>
      </c>
      <c r="G36" s="2" t="inlineStr">
        <is>
          <t>Verify alts exposure.</t>
        </is>
      </c>
    </row>
    <row r="37" ht="15" customHeight="1" s="26">
      <c r="A37" s="2" t="inlineStr">
        <is>
          <t>Botswana</t>
        </is>
      </c>
      <c r="B37" s="2" t="inlineStr">
        <is>
          <t>Debswana Pension Fund</t>
        </is>
      </c>
      <c r="C37" s="2" t="inlineStr">
        <is>
          <t>Corporate PF (mining JV)</t>
        </is>
      </c>
      <c r="D37" s="2" t="n">
        <v>1500</v>
      </c>
      <c r="E37" s="2" t="n">
        <v>2024</v>
      </c>
      <c r="F37" s="2" t="inlineStr">
        <is>
          <t>Highly active alts allocator</t>
        </is>
      </c>
      <c r="G37" s="2" t="inlineStr">
        <is>
          <t>Long-running alts programme; LP in African PE funds.</t>
        </is>
      </c>
    </row>
    <row r="38" ht="15" customHeight="1" s="26">
      <c r="A38" s="2" t="inlineStr">
        <is>
          <t>Tunisia</t>
        </is>
      </c>
      <c r="B38" s="2" t="inlineStr">
        <is>
          <t>CNRPS</t>
        </is>
      </c>
      <c r="C38" s="2" t="inlineStr">
        <is>
          <t>Civil-service PF</t>
        </is>
      </c>
      <c r="D38" s="2" t="n">
        <v>2200</v>
      </c>
      <c r="E38" s="2" t="n">
        <v>2023</v>
      </c>
      <c r="F38" s="2" t="inlineStr">
        <is>
          <t>Largest Tunisian PF</t>
        </is>
      </c>
      <c r="G38" s="2" t="inlineStr">
        <is>
          <t>Limited disclosure; verify.</t>
        </is>
      </c>
    </row>
    <row r="39" ht="15" customHeight="1" s="26">
      <c r="A39" s="2" t="inlineStr">
        <is>
          <t>Egypt</t>
        </is>
      </c>
      <c r="B39" s="2" t="inlineStr">
        <is>
          <t>TSFE see above</t>
        </is>
      </c>
      <c r="C39" s="2" t="inlineStr">
        <is>
          <t>—</t>
        </is>
      </c>
      <c r="D39" s="2" t="n">
        <v>0</v>
      </c>
      <c r="E39" s="2" t="inlineStr">
        <is>
          <t>—</t>
        </is>
      </c>
      <c r="F39" s="2" t="inlineStr">
        <is>
          <t>(duplicate)</t>
        </is>
      </c>
      <c r="G39" s="2" t="inlineStr">
        <is>
          <t>—</t>
        </is>
      </c>
    </row>
    <row r="40" ht="23.25" customHeight="1" s="26">
      <c r="A40" s="2" t="inlineStr">
        <is>
          <t>Rwanda</t>
        </is>
      </c>
      <c r="B40" s="2" t="inlineStr">
        <is>
          <t>RSSB</t>
        </is>
      </c>
      <c r="C40" s="2" t="inlineStr">
        <is>
          <t>Public PF</t>
        </is>
      </c>
      <c r="D40" s="2" t="n">
        <v>1500</v>
      </c>
      <c r="E40" s="2" t="n">
        <v>2024</v>
      </c>
      <c r="F40" s="2" t="inlineStr">
        <is>
          <t>Largest Rwandan PF</t>
        </is>
      </c>
      <c r="G40" s="2" t="inlineStr">
        <is>
          <t>Active in Rwandan strategic investments; has equity stakes in BK Group, Rwandair, etc.</t>
        </is>
      </c>
    </row>
    <row r="41" ht="15" customHeight="1" s="26">
      <c r="A41" s="2" t="inlineStr">
        <is>
          <t>Tunisia</t>
        </is>
      </c>
      <c r="B41" s="2" t="inlineStr">
        <is>
          <t>CNSS Tunisia</t>
        </is>
      </c>
      <c r="C41" s="2" t="inlineStr">
        <is>
          <t>Public PF</t>
        </is>
      </c>
      <c r="D41" s="2" t="n">
        <v>1500</v>
      </c>
      <c r="E41" s="2" t="n">
        <v>2023</v>
      </c>
      <c r="F41" s="2" t="inlineStr">
        <is>
          <t>Major Tunisian PF</t>
        </is>
      </c>
      <c r="G41" s="2" t="inlineStr">
        <is>
          <t>Limited disclosure.</t>
        </is>
      </c>
    </row>
    <row r="42" ht="15" customHeight="1" s="26">
      <c r="A42" s="2" t="inlineStr">
        <is>
          <t>Algeria</t>
        </is>
      </c>
      <c r="B42" s="2" t="inlineStr">
        <is>
          <t>CNAS Algeria</t>
        </is>
      </c>
      <c r="C42" s="2" t="inlineStr">
        <is>
          <t>Public PF</t>
        </is>
      </c>
      <c r="D42" s="2" t="n">
        <v>1500</v>
      </c>
      <c r="E42" s="2" t="n">
        <v>2023</v>
      </c>
      <c r="F42" s="2" t="inlineStr">
        <is>
          <t>Major Algerian PF</t>
        </is>
      </c>
      <c r="G42" s="2" t="inlineStr">
        <is>
          <t>Limited disclosure.</t>
        </is>
      </c>
    </row>
    <row r="43" ht="15" customHeight="1" s="26">
      <c r="A43" s="2" t="inlineStr">
        <is>
          <t>Ethiopia</t>
        </is>
      </c>
      <c r="B43" s="2" t="inlineStr">
        <is>
          <t>POSSA</t>
        </is>
      </c>
      <c r="C43" s="2" t="inlineStr">
        <is>
          <t>Private-sector PF</t>
        </is>
      </c>
      <c r="D43" s="2" t="n">
        <v>1500</v>
      </c>
      <c r="E43" s="2" t="n">
        <v>2024</v>
      </c>
      <c r="F43" s="2" t="inlineStr">
        <is>
          <t>Major Ethiopian PF</t>
        </is>
      </c>
      <c r="G43" s="2" t="inlineStr">
        <is>
          <t>Verify any non-government allocation.</t>
        </is>
      </c>
    </row>
    <row r="44" ht="23.25" customHeight="1" s="26">
      <c r="A44" s="2" t="inlineStr">
        <is>
          <t>Senegal</t>
        </is>
      </c>
      <c r="B44" s="2" t="inlineStr">
        <is>
          <t>FONSIS</t>
        </is>
      </c>
      <c r="C44" s="2" t="inlineStr">
        <is>
          <t>SWF (strategic)</t>
        </is>
      </c>
      <c r="D44" s="2" t="n">
        <v>1000</v>
      </c>
      <c r="E44" s="2" t="n">
        <v>2023</v>
      </c>
      <c r="F44" s="2" t="inlineStr">
        <is>
          <t>Active strategic investor in Senegal</t>
        </is>
      </c>
      <c r="G44" s="2" t="inlineStr">
        <is>
          <t>Direct equity in hotels, agribusiness, infra; co-invests with DFIs and African PE funds.</t>
        </is>
      </c>
    </row>
    <row r="45" ht="15" customHeight="1" s="26">
      <c r="A45" s="2" t="inlineStr">
        <is>
          <t>Gabon</t>
        </is>
      </c>
      <c r="B45" s="2" t="inlineStr">
        <is>
          <t>FGIS</t>
        </is>
      </c>
      <c r="C45" s="2" t="inlineStr">
        <is>
          <t>SWF (strategic)</t>
        </is>
      </c>
      <c r="D45" s="2" t="n">
        <v>1500</v>
      </c>
      <c r="E45" s="2" t="n">
        <v>2023</v>
      </c>
      <c r="F45" s="2" t="inlineStr">
        <is>
          <t>Active strategic SWF in Central Africa</t>
        </is>
      </c>
      <c r="G45" s="2" t="inlineStr">
        <is>
          <t>Stakes in Gabonese financial sector and Africa-focused infra platforms.</t>
        </is>
      </c>
    </row>
    <row r="46" ht="15" customHeight="1" s="26">
      <c r="A46" s="2" t="inlineStr">
        <is>
          <t>Djibouti</t>
        </is>
      </c>
      <c r="B46" s="2" t="inlineStr">
        <is>
          <t>FSD</t>
        </is>
      </c>
      <c r="C46" s="2" t="inlineStr">
        <is>
          <t>SWF (strategic)</t>
        </is>
      </c>
      <c r="D46" s="2" t="n">
        <v>1500</v>
      </c>
      <c r="E46" s="2" t="n">
        <v>2024</v>
      </c>
      <c r="F46" s="2" t="inlineStr">
        <is>
          <t>Newer but active strategic SWF</t>
        </is>
      </c>
      <c r="G46" s="2" t="inlineStr">
        <is>
          <t>Mandate includes domestic strategic investments and partnerships.</t>
        </is>
      </c>
    </row>
    <row r="47" ht="23.25" customHeight="1" s="26">
      <c r="A47" s="2" t="inlineStr">
        <is>
          <t>Morocco</t>
        </is>
      </c>
      <c r="B47" s="2" t="inlineStr">
        <is>
          <t>Ithmar Capital</t>
        </is>
      </c>
      <c r="C47" s="2" t="inlineStr">
        <is>
          <t>SWF (sector-strategic)</t>
        </is>
      </c>
      <c r="D47" s="2" t="n">
        <v>1000</v>
      </c>
      <c r="E47" s="2" t="n">
        <v>2023</v>
      </c>
      <c r="F47" s="2" t="inlineStr">
        <is>
          <t>Tourism/renewables strategic SWF</t>
        </is>
      </c>
      <c r="G47" s="2" t="inlineStr">
        <is>
          <t>Co-investor with Green Africa Investment, AfDB, Morocco's Mohammed VI Fund.</t>
        </is>
      </c>
    </row>
    <row r="48" ht="15" customHeight="1" s="26">
      <c r="A48" s="2" t="inlineStr">
        <is>
          <t>Nigeria</t>
        </is>
      </c>
      <c r="B48" s="2" t="inlineStr">
        <is>
          <t>Premium Pension</t>
        </is>
      </c>
      <c r="C48" s="2" t="inlineStr">
        <is>
          <t>PFA</t>
        </is>
      </c>
      <c r="D48" s="2" t="n">
        <v>1500</v>
      </c>
      <c r="E48" s="2" t="n">
        <v>2024</v>
      </c>
      <c r="F48" s="2" t="inlineStr">
        <is>
          <t>Top Nigerian PFA</t>
        </is>
      </c>
      <c r="G48" s="2" t="inlineStr">
        <is>
          <t>PenCom Multi-Fund Structure permits alts; verify commitments.</t>
        </is>
      </c>
    </row>
    <row r="49" ht="15" customHeight="1" s="26">
      <c r="A49" s="2" t="inlineStr">
        <is>
          <t>Nigeria</t>
        </is>
      </c>
      <c r="B49" s="2" t="inlineStr">
        <is>
          <t>Sigma / Access Pensions</t>
        </is>
      </c>
      <c r="C49" s="2" t="inlineStr">
        <is>
          <t>PFA</t>
        </is>
      </c>
      <c r="D49" s="2" t="n">
        <v>1100</v>
      </c>
      <c r="E49" s="2" t="n">
        <v>2024</v>
      </c>
      <c r="F49" s="2" t="inlineStr">
        <is>
          <t>Top Nigerian PFA</t>
        </is>
      </c>
      <c r="G49" s="2" t="inlineStr">
        <is>
          <t>Access Holdings ownership; verify intra-group alts.</t>
        </is>
      </c>
    </row>
    <row r="50" ht="15" customHeight="1" s="26">
      <c r="A50" s="2" t="inlineStr">
        <is>
          <t>Nigeria</t>
        </is>
      </c>
      <c r="B50" s="2" t="inlineStr">
        <is>
          <t>Tangerine APT Pensions</t>
        </is>
      </c>
      <c r="C50" s="2" t="inlineStr">
        <is>
          <t>PFA</t>
        </is>
      </c>
      <c r="D50" s="2" t="n">
        <v>1200</v>
      </c>
      <c r="E50" s="2" t="n">
        <v>2024</v>
      </c>
      <c r="F50" s="2" t="inlineStr">
        <is>
          <t>Top Nigerian PFA</t>
        </is>
      </c>
      <c r="G50" s="2" t="inlineStr">
        <is>
          <t>Post-merger entity; verify commitments.</t>
        </is>
      </c>
    </row>
    <row r="51" ht="15" customHeight="1" s="26">
      <c r="A51" s="2" t="inlineStr">
        <is>
          <t>Morocco</t>
        </is>
      </c>
      <c r="B51" s="2" t="inlineStr">
        <is>
          <t>Mohammed VI Fund for Investment</t>
        </is>
      </c>
      <c r="C51" s="2" t="inlineStr">
        <is>
          <t>SWF (strategic)</t>
        </is>
      </c>
      <c r="D51" s="2" t="n">
        <v>4500</v>
      </c>
      <c r="E51" s="2" t="n">
        <v>2024</v>
      </c>
      <c r="F51" s="2" t="inlineStr">
        <is>
          <t>Newer but well-capitalised</t>
        </is>
      </c>
      <c r="G51" s="2" t="inlineStr">
        <is>
          <t>Anchor investor in domestic sectoral funds and PPP platforms.</t>
        </is>
      </c>
    </row>
  </sheetData>
  <autoFilter ref="A3:G51"/>
  <mergeCells count="1">
    <mergeCell ref="A1:G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V49"/>
  <sheetViews>
    <sheetView workbookViewId="0">
      <pane ySplit="1" topLeftCell="A2" activePane="bottomLeft" state="frozen"/>
      <selection pane="bottomLeft" activeCell="A1" sqref="A1"/>
    </sheetView>
  </sheetViews>
  <sheetFormatPr baseColWidth="8" defaultRowHeight="15"/>
  <cols>
    <col width="14" customWidth="1" style="26" min="1" max="1"/>
    <col width="34" customWidth="1" style="26" min="2" max="2"/>
    <col width="16" customWidth="1" style="26" min="3" max="3"/>
    <col width="36" customWidth="1" style="26" min="4" max="4"/>
    <col width="26" customWidth="1" style="26" min="5" max="5"/>
    <col width="15" customWidth="1" style="26" min="6" max="6"/>
    <col width="11" customWidth="1" style="26" min="7" max="7"/>
    <col width="24" customWidth="1" style="26" min="8" max="8"/>
    <col width="42" customWidth="1" style="26" min="9" max="9"/>
    <col width="48" customWidth="1" style="26" min="10" max="10"/>
    <col width="46" customWidth="1" style="26" min="11" max="11"/>
    <col width="14" customWidth="1" style="26" min="12" max="14"/>
    <col width="28" customWidth="1" style="26" min="15" max="15"/>
    <col width="24" customWidth="1" style="26" min="16" max="16"/>
    <col width="22" customWidth="1" style="26" min="17" max="17"/>
    <col width="30" customWidth="1" style="26" min="18" max="18"/>
    <col width="32" customWidth="1" style="26" min="19" max="19"/>
    <col width="52" customWidth="1" style="26" min="20" max="20"/>
    <col width="14" customWidth="1" style="26" min="21" max="21"/>
    <col width="56" customWidth="1" style="26" min="22" max="22"/>
  </cols>
  <sheetData>
    <row r="1" ht="45" customHeight="1" s="26">
      <c r="A1" s="21" t="inlineStr">
        <is>
          <t>Sweep priority</t>
        </is>
      </c>
      <c r="B1" s="21" t="inlineStr">
        <is>
          <t>Sweep status</t>
        </is>
      </c>
      <c r="C1" s="21" t="inlineStr">
        <is>
          <t>Country</t>
        </is>
      </c>
      <c r="D1" s="21" t="inlineStr">
        <is>
          <t>Institution</t>
        </is>
      </c>
      <c r="E1" s="21" t="inlineStr">
        <is>
          <t>Type</t>
        </is>
      </c>
      <c r="F1" s="21" t="inlineStr">
        <is>
          <t>AUM (USD m, approx)</t>
        </is>
      </c>
      <c r="G1" s="21" t="inlineStr">
        <is>
          <t>As-of year</t>
        </is>
      </c>
      <c r="H1" s="21" t="inlineStr">
        <is>
          <t>Disclosure language targets</t>
        </is>
      </c>
      <c r="I1" s="21" t="inlineStr">
        <is>
          <t>Aliases / local names to search</t>
        </is>
      </c>
      <c r="J1" s="21" t="inlineStr">
        <is>
          <t>Official disclosure targets</t>
        </is>
      </c>
      <c r="K1" s="21" t="inlineStr">
        <is>
          <t>Regulator / filing hints</t>
        </is>
      </c>
      <c r="L1" s="21" t="inlineStr">
        <is>
          <t>Current commitment rows matched</t>
        </is>
      </c>
      <c r="M1" s="21" t="inlineStr">
        <is>
          <t>Current source-library rows matched</t>
        </is>
      </c>
      <c r="N1" s="21" t="inlineStr">
        <is>
          <t>Official/source document rows matched</t>
        </is>
      </c>
      <c r="O1" s="21" t="inlineStr">
        <is>
          <t>Public docs checked</t>
        </is>
      </c>
      <c r="P1" s="21" t="inlineStr">
        <is>
          <t>Latest official doc checked</t>
        </is>
      </c>
      <c r="Q1" s="21" t="inlineStr">
        <is>
          <t>Local-language docs checked</t>
        </is>
      </c>
      <c r="R1" s="21" t="inlineStr">
        <is>
          <t>Candidate commitments found</t>
        </is>
      </c>
      <c r="S1" s="21" t="inlineStr">
        <is>
          <t>No-evidence rationale</t>
        </is>
      </c>
      <c r="T1" s="21" t="inlineStr">
        <is>
          <t>Recommended next action</t>
        </is>
      </c>
      <c r="U1" s="21" t="inlineStr">
        <is>
          <t>Audit date seeded</t>
        </is>
      </c>
      <c r="V1" s="21" t="inlineStr">
        <is>
          <t>Notes</t>
        </is>
      </c>
    </row>
    <row r="2" ht="45" customHeight="1" s="26">
      <c r="A2" s="22" t="inlineStr">
        <is>
          <t>P1</t>
        </is>
      </c>
      <c r="B2" s="14" t="inlineStr">
        <is>
          <t>Checked - candidate named fund allocation found</t>
        </is>
      </c>
      <c r="C2" s="14" t="inlineStr">
        <is>
          <t>South Africa</t>
        </is>
      </c>
      <c r="D2" s="14" t="inlineStr">
        <is>
          <t>GEPF (managed by PIC)</t>
        </is>
      </c>
      <c r="E2" s="14" t="inlineStr">
        <is>
          <t>Public PF (DB)</t>
        </is>
      </c>
      <c r="F2" s="14" t="n">
        <v>125000</v>
      </c>
      <c r="G2" s="14" t="n">
        <v>2024</v>
      </c>
      <c r="H2" s="14" t="inlineStr">
        <is>
          <t>English</t>
        </is>
      </c>
      <c r="I2" s="14" t="inlineStr">
        <is>
          <t>GEPF (managed by PIC); GEPF; PIC; Public Investment Corporation; Government Employees Pension Fund</t>
        </is>
      </c>
      <c r="J2" s="14" t="inlineStr">
        <is>
          <t>annual report; audited financial statements; investment policy; portfolio holdings; public fund register; regulator filing</t>
        </is>
      </c>
      <c r="K2" s="14" t="inlineStr">
        <is>
          <t>FSCA; PIC/GEPF annual reports; parliamentary/PMG filings</t>
        </is>
      </c>
      <c r="L2" s="14" t="n">
        <v>11</v>
      </c>
      <c r="M2" s="14" t="n">
        <v>7</v>
      </c>
      <c r="N2" s="14" t="n">
        <v>3</v>
      </c>
      <c r="O2" s="14" t="inlineStr">
        <is>
          <t>Yes - GEPF 2024/25 annual report and PIC 2024 report checked</t>
        </is>
      </c>
      <c r="P2" s="14" t="inlineStr">
        <is>
          <t>GEPF Annual Report 2024/25; PIC Integrated Annual Report 2024</t>
        </is>
      </c>
      <c r="Q2" s="14" t="inlineStr">
        <is>
          <t>N/A - English disclosure</t>
        </is>
      </c>
      <c r="R2" s="14" t="inlineStr">
        <is>
          <t>Ninety One Credit Fund - African Credit Opportunities Fund III</t>
        </is>
      </c>
      <c r="S2" s="14" t="n"/>
      <c r="T2" s="14" t="inlineStr">
        <is>
          <t>Resolve commitment amount and co-investors for Ninety One African Credit Opportunities Fund III; add confirmed row if amount/source detail is sufficient.</t>
        </is>
      </c>
      <c r="U2" s="14" t="inlineStr">
        <is>
          <t>2026-06-05</t>
        </is>
      </c>
      <c r="V2" s="14" t="inlineStr">
        <is>
          <t>Disclosed PE/infra exposure including Africa-ex-SA via PIC's Isibaya programme; LP in DPI and other disclosed vehicles (historical).</t>
        </is>
      </c>
    </row>
    <row r="3" ht="90" customHeight="1" s="26">
      <c r="A3" s="23" t="inlineStr">
        <is>
          <t>P0</t>
        </is>
      </c>
      <c r="B3" s="14" t="inlineStr">
        <is>
          <t>Checked - no named alts commitment found in official/public summaries</t>
        </is>
      </c>
      <c r="C3" s="14" t="inlineStr">
        <is>
          <t>Egypt</t>
        </is>
      </c>
      <c r="D3" s="14" t="inlineStr">
        <is>
          <t>NOSI / NSSA</t>
        </is>
      </c>
      <c r="E3" s="14" t="inlineStr">
        <is>
          <t>Public PF (consolidated)</t>
        </is>
      </c>
      <c r="F3" s="14" t="n">
        <v>110000</v>
      </c>
      <c r="G3" s="14" t="n">
        <v>2024</v>
      </c>
      <c r="H3" s="14" t="inlineStr">
        <is>
          <t>Arabic; English</t>
        </is>
      </c>
      <c r="I3" s="14" t="inlineStr">
        <is>
          <t>NOSI / NSSA; NOSI; NSSA; National Organization for Social Insurance</t>
        </is>
      </c>
      <c r="J3" s="14" t="inlineStr">
        <is>
          <t>annual report; audited financial statements; investment policy; portfolio holdings; public fund register; regulator filing</t>
        </is>
      </c>
      <c r="K3" s="14" t="inlineStr">
        <is>
          <t>NOSI/NIB official publications; Ministry of Social Solidarity; Arabic annual reports</t>
        </is>
      </c>
      <c r="L3" s="14" t="n">
        <v>1</v>
      </c>
      <c r="M3" s="14" t="n">
        <v>2</v>
      </c>
      <c r="N3" s="14" t="n">
        <v>0</v>
      </c>
      <c r="O3" s="14" t="inlineStr">
        <is>
          <t>Partial - official Cabinet/SIS annual report summaries checked; full report PDF not found</t>
        </is>
      </c>
      <c r="P3" s="14" t="inlineStr">
        <is>
          <t>FY2023/24 Cabinet/SIS annual report and final accounts summary; FY2022/23 Arabic SIS summary</t>
        </is>
      </c>
      <c r="Q3" s="14" t="inlineStr">
        <is>
          <t>Partial - Arabic SIS/Cabinet summaries checked</t>
        </is>
      </c>
      <c r="R3" s="14" t="inlineStr">
        <is>
          <t>None</t>
        </is>
      </c>
      <c r="S3" s="14" t="inlineStr">
        <is>
          <t>Public summaries report aggregate investment fund growth/returns but do not name fund, private equity, infrastructure, or direct-company commitments.</t>
        </is>
      </c>
      <c r="T3" s="14" t="inlineStr">
        <is>
          <t>Find full NOSI annual report/final accounts PDF if publicly posted; otherwise retain as no named public commitment in available official summaries.</t>
        </is>
      </c>
      <c r="U3" s="14" t="inlineStr">
        <is>
          <t>2026-06-05</t>
        </is>
      </c>
      <c r="V3" s="14" t="inlineStr">
        <is>
          <t>Predominantly EGP government securities; Africa alts exposure historically minimal but worth verifying post-2019 reforms.</t>
        </is>
      </c>
    </row>
    <row r="4" ht="90" customHeight="1" s="26">
      <c r="A4" s="22" t="inlineStr">
        <is>
          <t>P1</t>
        </is>
      </c>
      <c r="B4" s="14" t="inlineStr">
        <is>
          <t>Checked - no named African alts commitment found in latest public portfolio summaries</t>
        </is>
      </c>
      <c r="C4" s="14" t="inlineStr">
        <is>
          <t>Libya</t>
        </is>
      </c>
      <c r="D4" s="14" t="inlineStr">
        <is>
          <t>Libyan Investment Authority</t>
        </is>
      </c>
      <c r="E4" s="14" t="inlineStr">
        <is>
          <t>SWF</t>
        </is>
      </c>
      <c r="F4" s="14" t="n">
        <v>67000</v>
      </c>
      <c r="G4" s="14" t="n">
        <v>2023</v>
      </c>
      <c r="H4" s="14" t="inlineStr">
        <is>
          <t>Arabic; English</t>
        </is>
      </c>
      <c r="I4" s="14" t="inlineStr">
        <is>
          <t>Libyan Investment Authority; LIA</t>
        </is>
      </c>
      <c r="J4" s="14" t="inlineStr">
        <is>
          <t>annual report; audited financial statements; investment policy; portfolio holdings; public fund register; regulator filing</t>
        </is>
      </c>
      <c r="K4" s="14" t="inlineStr">
        <is>
          <t>LIA reports; UN sanctions disclosures; Social Security Fund publications</t>
        </is>
      </c>
      <c r="L4" s="14" t="n">
        <v>3</v>
      </c>
      <c r="M4" s="14" t="n">
        <v>4</v>
      </c>
      <c r="N4" s="14" t="n">
        <v>1</v>
      </c>
      <c r="O4" s="14" t="inlineStr">
        <is>
          <t>Partial - IFSWF 2025 self-assessment and 2025 direct financial-assets statement coverage checked</t>
        </is>
      </c>
      <c r="P4" s="14" t="inlineStr">
        <is>
          <t>LIA Santiago Principles Self-Assessment 2025; 2025 direct financial assets statement coverage</t>
        </is>
      </c>
      <c r="Q4" s="14" t="inlineStr">
        <is>
          <t>Partial - English/Arabic-statement coverage checked via local press and IFSWF; no full consolidated AFS found</t>
        </is>
      </c>
      <c r="R4" s="14" t="inlineStr">
        <is>
          <t>None</t>
        </is>
      </c>
      <c r="S4" s="14" t="inlineStr">
        <is>
          <t>Public summaries disclose aggregate time deposit, equity, and investment-fund portfolios but do not name African private-market funds or deals.</t>
        </is>
      </c>
      <c r="T4" s="14" t="inlineStr">
        <is>
          <t>Monitor consolidated financial statements and subsidiary reports; search LAIP/LTP/LAFICO for named Africa holdings if direct-stake scope expands.</t>
        </is>
      </c>
      <c r="U4" s="14" t="inlineStr">
        <is>
          <t>2026-06-05</t>
        </is>
      </c>
      <c r="V4" s="14" t="inlineStr">
        <is>
          <t>Mostly frozen since 2011; Pre-2011 had direct African stakes (banking, telecoms) — investigate legacy holdings.</t>
        </is>
      </c>
    </row>
    <row r="5" ht="75" customHeight="1" s="26">
      <c r="A5" s="23" t="inlineStr">
        <is>
          <t>P0</t>
        </is>
      </c>
      <c r="B5" s="14" t="inlineStr">
        <is>
          <t>Checked - candidate found, scope decision needed</t>
        </is>
      </c>
      <c r="C5" s="14" t="inlineStr">
        <is>
          <t>Ethiopia</t>
        </is>
      </c>
      <c r="D5" s="14" t="inlineStr">
        <is>
          <t>Ethiopian Investment Holdings (EIH)</t>
        </is>
      </c>
      <c r="E5" s="14" t="inlineStr">
        <is>
          <t>Strategic SWF (SOE holding)</t>
        </is>
      </c>
      <c r="F5" s="14" t="n">
        <v>38000</v>
      </c>
      <c r="G5" s="14" t="n">
        <v>2024</v>
      </c>
      <c r="H5" s="14" t="inlineStr">
        <is>
          <t>Amharic; English</t>
        </is>
      </c>
      <c r="I5" s="14" t="inlineStr">
        <is>
          <t>Ethiopian Investment Holdings (EIH); Ethiopian Investment Holdings; EIH</t>
        </is>
      </c>
      <c r="J5" s="14" t="inlineStr">
        <is>
          <t>annual report; audited financial statements; investment policy; portfolio holdings; public fund register; regulator filing</t>
        </is>
      </c>
      <c r="K5" s="14" t="inlineStr">
        <is>
          <t>POESSA/PSSSA materials; Ministry of Finance; NBE/ESE reform documents</t>
        </is>
      </c>
      <c r="L5" s="14" t="n">
        <v>0</v>
      </c>
      <c r="M5" s="14" t="n">
        <v>0</v>
      </c>
      <c r="N5" s="14" t="n">
        <v>0</v>
      </c>
      <c r="O5" s="14" t="inlineStr">
        <is>
          <t>Partial - EIH investment page and issuer/local disclosures checked</t>
        </is>
      </c>
      <c r="P5" s="14" t="inlineStr">
        <is>
          <t>EIH investment page; Akobo Minerals 2025 private placement release</t>
        </is>
      </c>
      <c r="Q5" s="14" t="inlineStr">
        <is>
          <t>Partial - English public disclosures checked; Amharic search did not reveal a fuller annual report in this pass</t>
        </is>
      </c>
      <c r="R5" s="14" t="inlineStr">
        <is>
          <t>Akobo Minerals AB private placement / Segele gold project stake</t>
        </is>
      </c>
      <c r="S5" s="14" t="n"/>
      <c r="T5" s="14" t="inlineStr">
        <is>
          <t>Resolve scope for listed/private-placement mining stake; continue search for EIH consolidated financials/annual report.</t>
        </is>
      </c>
      <c r="U5" s="14" t="inlineStr">
        <is>
          <t>2026-06-05</t>
        </is>
      </c>
      <c r="V5" s="14" t="inlineStr">
        <is>
          <t>AUM is book value of SOE stakes; not a traditional LP. Verify any third-party fund commitments.</t>
        </is>
      </c>
    </row>
    <row r="6" ht="75" customHeight="1" s="26">
      <c r="A6" s="23" t="inlineStr">
        <is>
          <t>P0</t>
        </is>
      </c>
      <c r="B6" s="14" t="inlineStr">
        <is>
          <t>Checked - no named alts commitment found in public NIB/NOSI trail</t>
        </is>
      </c>
      <c r="C6" s="14" t="inlineStr">
        <is>
          <t>Egypt</t>
        </is>
      </c>
      <c r="D6" s="14" t="inlineStr">
        <is>
          <t>NIB legacy pension assets</t>
        </is>
      </c>
      <c r="E6" s="14" t="inlineStr">
        <is>
          <t>Sovereign deposit</t>
        </is>
      </c>
      <c r="F6" s="14" t="n">
        <v>30000</v>
      </c>
      <c r="G6" s="14" t="n">
        <v>2023</v>
      </c>
      <c r="H6" s="14" t="inlineStr">
        <is>
          <t>Arabic; English</t>
        </is>
      </c>
      <c r="I6" s="14" t="inlineStr">
        <is>
          <t>NIB legacy pension assets; National Investment Bank; NIB; NIB Egypt</t>
        </is>
      </c>
      <c r="J6" s="14" t="inlineStr">
        <is>
          <t>annual report; audited financial statements; investment policy; portfolio holdings; public fund register; regulator filing</t>
        </is>
      </c>
      <c r="K6" s="14" t="inlineStr">
        <is>
          <t>NOSI/NIB official publications; Ministry of Social Solidarity; Arabic annual reports</t>
        </is>
      </c>
      <c r="L6" s="14" t="n">
        <v>0</v>
      </c>
      <c r="M6" s="14" t="n">
        <v>1</v>
      </c>
      <c r="N6" s="14" t="n">
        <v>0</v>
      </c>
      <c r="O6" s="14" t="inlineStr">
        <is>
          <t>Partial - NIB official publications page and social-insurance/NIB relationship sources checked</t>
        </is>
      </c>
      <c r="P6" s="14" t="inlineStr">
        <is>
          <t>NIB publications page; Egyptian Tax Authority note on social insurance funds/NIB relationship</t>
        </is>
      </c>
      <c r="Q6" s="14" t="inlineStr">
        <is>
          <t>Partial - Arabic NIB publications page checked</t>
        </is>
      </c>
      <c r="R6" s="14" t="inlineStr">
        <is>
          <t>None</t>
        </is>
      </c>
      <c r="S6" s="14" t="inlineStr">
        <is>
          <t>NIB materials describe state investment-plan financing and historic pension-fund balances; no allocator-to-alternative-vehicle commitment found.</t>
        </is>
      </c>
      <c r="T6" s="14" t="inlineStr">
        <is>
          <t>Check Ministry of Planning/NIB financial statements if later disclosed; otherwise keep out of commitments.</t>
        </is>
      </c>
      <c r="U6" s="14" t="inlineStr">
        <is>
          <t>2026-06-05</t>
        </is>
      </c>
      <c r="V6" s="14" t="inlineStr">
        <is>
          <t>Structure under reform; verify current asset mix.</t>
        </is>
      </c>
    </row>
    <row r="7" ht="45" customHeight="1" s="26">
      <c r="A7" s="22" t="inlineStr">
        <is>
          <t>P1</t>
        </is>
      </c>
      <c r="B7" s="14" t="inlineStr">
        <is>
          <t>Seeded - official/source docs exist, verify latest local-language disclosures</t>
        </is>
      </c>
      <c r="C7" s="14" t="inlineStr">
        <is>
          <t>Morocco</t>
        </is>
      </c>
      <c r="D7" s="14" t="inlineStr">
        <is>
          <t>Caisse de Dépôt et de Gestion (CDG)</t>
        </is>
      </c>
      <c r="E7" s="14" t="inlineStr">
        <is>
          <t>Sovereign + pension manager</t>
        </is>
      </c>
      <c r="F7" s="14" t="n">
        <v>28000</v>
      </c>
      <c r="G7" s="14" t="n">
        <v>2024</v>
      </c>
      <c r="H7" s="14" t="inlineStr">
        <is>
          <t>French; Arabic</t>
        </is>
      </c>
      <c r="I7" s="14" t="inlineStr">
        <is>
          <t>Caisse de Dépôt et de Gestion (CDG); Caisse de Dépôt et de Gestion; CDG; CDG Morocco</t>
        </is>
      </c>
      <c r="J7" s="14" t="inlineStr">
        <is>
          <t>annual report; audited financial statements; investment policy; portfolio holdings; public fund register; regulator filing</t>
        </is>
      </c>
      <c r="K7" s="14" t="inlineStr">
        <is>
          <t>ACAPS; AMMC fund register; CDG/CMR/RCAR annual reports</t>
        </is>
      </c>
      <c r="L7" s="14" t="n">
        <v>6</v>
      </c>
      <c r="M7" s="14" t="n">
        <v>4</v>
      </c>
      <c r="N7" s="14" t="n">
        <v>1</v>
      </c>
      <c r="O7" s="14" t="inlineStr">
        <is>
          <t>No - sweep row seeded only</t>
        </is>
      </c>
      <c r="P7" s="14" t="n"/>
      <c r="Q7" s="14" t="inlineStr">
        <is>
          <t>No</t>
        </is>
      </c>
      <c r="R7" s="14" t="n"/>
      <c r="S7" s="14" t="n"/>
      <c r="T7" s="14" t="inlineStr">
        <is>
          <t>Run official-document and local-language query batch; record latest docs checked and add candidate rows where allocator-to-vehicle evidence appears.</t>
        </is>
      </c>
      <c r="U7" s="14" t="inlineStr">
        <is>
          <t>2026-06-05</t>
        </is>
      </c>
      <c r="V7" s="14" t="inlineStr">
        <is>
          <t>Confirmed LP in pan-African and Moroccan PE/infra (CDG Capital, Mediterrania Capital, AfricInvest funds).</t>
        </is>
      </c>
    </row>
    <row r="8" ht="75" customHeight="1" s="26">
      <c r="A8" s="23" t="inlineStr">
        <is>
          <t>P0</t>
        </is>
      </c>
      <c r="B8" s="14" t="inlineStr">
        <is>
          <t>Checked - candidate real-estate/OPCI lead found, no named PE/infra commitment</t>
        </is>
      </c>
      <c r="C8" s="14" t="inlineStr">
        <is>
          <t>Morocco</t>
        </is>
      </c>
      <c r="D8" s="14" t="inlineStr">
        <is>
          <t>CMR</t>
        </is>
      </c>
      <c r="E8" s="14" t="inlineStr">
        <is>
          <t>Civil-service PF</t>
        </is>
      </c>
      <c r="F8" s="14" t="n">
        <v>14500</v>
      </c>
      <c r="G8" s="14" t="n">
        <v>2024</v>
      </c>
      <c r="H8" s="14" t="inlineStr">
        <is>
          <t>French; Arabic</t>
        </is>
      </c>
      <c r="I8" s="14" t="inlineStr">
        <is>
          <t>CMR; Caisse Marocaine des Retraites</t>
        </is>
      </c>
      <c r="J8" s="14" t="inlineStr">
        <is>
          <t>annual report; audited financial statements; investment policy; portfolio holdings; public fund register; regulator filing</t>
        </is>
      </c>
      <c r="K8" s="14" t="inlineStr">
        <is>
          <t>ACAPS; AMMC fund register; CDG/CMR/RCAR annual reports</t>
        </is>
      </c>
      <c r="L8" s="14" t="n">
        <v>0</v>
      </c>
      <c r="M8" s="14" t="n">
        <v>0</v>
      </c>
      <c r="N8" s="14" t="n">
        <v>0</v>
      </c>
      <c r="O8" s="14" t="inlineStr">
        <is>
          <t>Partial - 2023 activity-report coverage, Court of Accounts report, ACAPS/prudential trail checked</t>
        </is>
      </c>
      <c r="P8" s="14" t="inlineStr">
        <is>
          <t>CMR 2023 activity-report coverage; Court of Accounts CMR report</t>
        </is>
      </c>
      <c r="Q8" s="14" t="inlineStr">
        <is>
          <t>Partial - French searches checked</t>
        </is>
      </c>
      <c r="R8" s="14" t="inlineStr">
        <is>
          <t>CMR OPCI real-estate vehicles (vehicle names unresolved)</t>
        </is>
      </c>
      <c r="S8" s="14" t="inlineStr">
        <is>
          <t>Available public sources describe portfolio values, asset mix and OPCI diversification but do not name a PE/infrastructure fund commitment.</t>
        </is>
      </c>
      <c r="T8" s="14" t="inlineStr">
        <is>
          <t>Search AMMC OPCI register and CMR report PDFs for named OPCI vehicles; likely keep outside core scope unless real estate is included.</t>
        </is>
      </c>
      <c r="U8" s="14" t="inlineStr">
        <is>
          <t>2026-06-05</t>
        </is>
      </c>
      <c r="V8" s="14" t="inlineStr">
        <is>
          <t>Verify alts mandate; recent reform allowing higher alts limit.</t>
        </is>
      </c>
    </row>
    <row r="9" ht="45" customHeight="1" s="26">
      <c r="A9" s="23" t="inlineStr">
        <is>
          <t>P0</t>
        </is>
      </c>
      <c r="B9" s="14" t="inlineStr">
        <is>
          <t>Checked - mandate evidence found, no named commitment yet</t>
        </is>
      </c>
      <c r="C9" s="14" t="inlineStr">
        <is>
          <t>Morocco</t>
        </is>
      </c>
      <c r="D9" s="14" t="inlineStr">
        <is>
          <t>RCAR (CDG-managed)</t>
        </is>
      </c>
      <c r="E9" s="14" t="inlineStr">
        <is>
          <t>Parastatal PF</t>
        </is>
      </c>
      <c r="F9" s="14" t="n">
        <v>13000</v>
      </c>
      <c r="G9" s="14" t="n">
        <v>2024</v>
      </c>
      <c r="H9" s="14" t="inlineStr">
        <is>
          <t>French; Arabic</t>
        </is>
      </c>
      <c r="I9" s="14" t="inlineStr">
        <is>
          <t>RCAR (CDG-managed); RCAR; Régime Collectif d'Allocation de Retraite</t>
        </is>
      </c>
      <c r="J9" s="14" t="inlineStr">
        <is>
          <t>annual report; audited financial statements; investment policy; portfolio holdings; public fund register; regulator filing</t>
        </is>
      </c>
      <c r="K9" s="14" t="inlineStr">
        <is>
          <t>ACAPS; AMMC fund register; CDG/CMR/RCAR annual reports</t>
        </is>
      </c>
      <c r="L9" s="14" t="n">
        <v>0</v>
      </c>
      <c r="M9" s="14" t="n">
        <v>0</v>
      </c>
      <c r="N9" s="14" t="n">
        <v>0</v>
      </c>
      <c r="O9" s="14" t="inlineStr">
        <is>
          <t>Yes - RCAR 2023 activity report checked</t>
        </is>
      </c>
      <c r="P9" s="14" t="inlineStr">
        <is>
          <t>CNRA-RCAR Rapport d?activit? 2023</t>
        </is>
      </c>
      <c r="Q9" s="14" t="inlineStr">
        <is>
          <t>Yes - French official report checked</t>
        </is>
      </c>
      <c r="R9" s="14" t="inlineStr">
        <is>
          <t>RCAR unlisted-participation and real-estate management mandates</t>
        </is>
      </c>
      <c r="S9" s="14" t="n"/>
      <c r="T9" s="14" t="inlineStr">
        <is>
          <t>Research CDG Invest/Ewane Assets mandate details for named underlying vehicles/deals before adding commitment rows.</t>
        </is>
      </c>
      <c r="U9" s="14" t="inlineStr">
        <is>
          <t>2026-06-05</t>
        </is>
      </c>
      <c r="V9" s="14" t="inlineStr">
        <is>
          <t>Alts exposure via CDG Capital infrastructure and PE funds.</t>
        </is>
      </c>
    </row>
    <row r="10" ht="45" customHeight="1" s="26">
      <c r="A10" s="24" t="inlineStr">
        <is>
          <t>P2</t>
        </is>
      </c>
      <c r="B10" s="14" t="inlineStr">
        <is>
          <t>Seeded - official/source docs exist, verify latest local-language disclosures</t>
        </is>
      </c>
      <c r="C10" s="14" t="inlineStr">
        <is>
          <t>Egypt</t>
        </is>
      </c>
      <c r="D10" s="14" t="inlineStr">
        <is>
          <t>The Sovereign Fund of Egypt (TSFE)</t>
        </is>
      </c>
      <c r="E10" s="14" t="inlineStr">
        <is>
          <t>SWF (strategic)</t>
        </is>
      </c>
      <c r="F10" s="14" t="n">
        <v>2500</v>
      </c>
      <c r="G10" s="14" t="n">
        <v>2024</v>
      </c>
      <c r="H10" s="14" t="inlineStr">
        <is>
          <t>Arabic; English</t>
        </is>
      </c>
      <c r="I10" s="14" t="inlineStr">
        <is>
          <t>The Sovereign Fund of Egypt (TSFE); The Sovereign Fund of Egypt; TSFE</t>
        </is>
      </c>
      <c r="J10" s="14" t="inlineStr">
        <is>
          <t>annual report; audited financial statements; investment policy; portfolio holdings; public fund register; regulator filing</t>
        </is>
      </c>
      <c r="K10" s="14" t="inlineStr">
        <is>
          <t>NOSI/NIB official publications; Ministry of Social Solidarity; Arabic annual reports</t>
        </is>
      </c>
      <c r="L10" s="14" t="n">
        <v>4</v>
      </c>
      <c r="M10" s="14" t="n">
        <v>2</v>
      </c>
      <c r="N10" s="14" t="n">
        <v>2</v>
      </c>
      <c r="O10" s="14" t="inlineStr">
        <is>
          <t>No - sweep row seeded only</t>
        </is>
      </c>
      <c r="P10" s="14" t="n"/>
      <c r="Q10" s="14" t="inlineStr">
        <is>
          <t>No</t>
        </is>
      </c>
      <c r="R10" s="14" t="n"/>
      <c r="S10" s="14" t="n"/>
      <c r="T10" s="14" t="inlineStr">
        <is>
          <t>Run official-document and local-language query batch; record latest docs checked and add candidate rows where allocator-to-vehicle evidence appears.</t>
        </is>
      </c>
      <c r="U10" s="14" t="inlineStr">
        <is>
          <t>2026-06-05</t>
        </is>
      </c>
      <c r="V10" s="14" t="inlineStr">
        <is>
          <t>Joint platforms with ADQ, PIF; co-investments in renewables, healthcare, fintech.</t>
        </is>
      </c>
    </row>
    <row r="11" ht="45" customHeight="1" s="26">
      <c r="A11" s="24" t="inlineStr">
        <is>
          <t>P2</t>
        </is>
      </c>
      <c r="B11" s="14" t="inlineStr">
        <is>
          <t>Seeded - official/source docs exist, verify latest local-language disclosures</t>
        </is>
      </c>
      <c r="C11" s="14" t="inlineStr">
        <is>
          <t>Namibia</t>
        </is>
      </c>
      <c r="D11" s="14" t="inlineStr">
        <is>
          <t>GIPF</t>
        </is>
      </c>
      <c r="E11" s="14" t="inlineStr">
        <is>
          <t>Public PF (DB)</t>
        </is>
      </c>
      <c r="F11" s="14" t="n">
        <v>9500</v>
      </c>
      <c r="G11" s="14" t="n">
        <v>2024</v>
      </c>
      <c r="H11" s="14" t="inlineStr">
        <is>
          <t>English</t>
        </is>
      </c>
      <c r="I11" s="14" t="inlineStr">
        <is>
          <t>GIPF; Government Institutions Pension Fund</t>
        </is>
      </c>
      <c r="J11" s="14" t="inlineStr">
        <is>
          <t>annual report; audited financial statements; investment policy; portfolio holdings; public fund register; regulator filing</t>
        </is>
      </c>
      <c r="K11" s="14" t="inlineStr">
        <is>
          <t>NAMFISA; GIPF annual reports; unlisted investment programme disclosures</t>
        </is>
      </c>
      <c r="L11" s="14" t="n">
        <v>5</v>
      </c>
      <c r="M11" s="14" t="n">
        <v>4</v>
      </c>
      <c r="N11" s="14" t="n">
        <v>3</v>
      </c>
      <c r="O11" s="14" t="inlineStr">
        <is>
          <t>No - sweep row seeded only</t>
        </is>
      </c>
      <c r="P11" s="14" t="n"/>
      <c r="Q11" s="14" t="inlineStr">
        <is>
          <t>No</t>
        </is>
      </c>
      <c r="R11" s="14" t="n"/>
      <c r="S11" s="14" t="n"/>
      <c r="T11" s="14" t="inlineStr">
        <is>
          <t>Run official-document and local-language query batch; record latest docs checked and add candidate rows where allocator-to-vehicle evidence appears.</t>
        </is>
      </c>
      <c r="U11" s="14" t="inlineStr">
        <is>
          <t>2026-06-05</t>
        </is>
      </c>
      <c r="V11" s="14" t="inlineStr">
        <is>
          <t>Mandatory unlisted-investment programme; ~10% to local SME/PE managers (Stimulus, Sanlam, Eos).</t>
        </is>
      </c>
    </row>
    <row r="12" ht="90" customHeight="1" s="26">
      <c r="A12" s="22" t="inlineStr">
        <is>
          <t>P1</t>
        </is>
      </c>
      <c r="B12" s="14" t="inlineStr">
        <is>
          <t>Checked - no public named alts commitment found</t>
        </is>
      </c>
      <c r="C12" s="14" t="inlineStr">
        <is>
          <t>Libya</t>
        </is>
      </c>
      <c r="D12" s="14" t="inlineStr">
        <is>
          <t>Social Security Fund of Libya</t>
        </is>
      </c>
      <c r="E12" s="14" t="inlineStr">
        <is>
          <t>Public PF</t>
        </is>
      </c>
      <c r="F12" s="14" t="n">
        <v>9000</v>
      </c>
      <c r="G12" s="14" t="n">
        <v>2023</v>
      </c>
      <c r="H12" s="14" t="inlineStr">
        <is>
          <t>Arabic; English</t>
        </is>
      </c>
      <c r="I12" s="14" t="inlineStr">
        <is>
          <t>Social Security Fund of Libya; Libya Social Security Fund</t>
        </is>
      </c>
      <c r="J12" s="14" t="inlineStr">
        <is>
          <t>annual report; audited financial statements; investment policy; portfolio holdings; public fund register; regulator filing</t>
        </is>
      </c>
      <c r="K12" s="14" t="inlineStr">
        <is>
          <t>LIA reports; UN sanctions disclosures; Social Security Fund publications</t>
        </is>
      </c>
      <c r="L12" s="14" t="n">
        <v>0</v>
      </c>
      <c r="M12" s="14" t="n">
        <v>0</v>
      </c>
      <c r="N12" s="14" t="n">
        <v>0</v>
      </c>
      <c r="O12" s="14" t="inlineStr">
        <is>
          <t>Partial - public web/local-language search did not find official annual report or named commitments</t>
        </is>
      </c>
      <c r="P12" s="14" t="inlineStr">
        <is>
          <t>No current official annual report located in public search; LIA/Libya public finance context checked</t>
        </is>
      </c>
      <c r="Q12" s="14" t="inlineStr">
        <is>
          <t>Partial - Arabic/English public searches checked</t>
        </is>
      </c>
      <c r="R12" s="14" t="inlineStr">
        <is>
          <t>None</t>
        </is>
      </c>
      <c r="S12" s="14" t="inlineStr">
        <is>
          <t>Search found no public annual-report/portfolio disclosure naming alternative-asset vehicles; likely opaque domestic deposits/real estate unless official report emerges.</t>
        </is>
      </c>
      <c r="T12" s="14" t="inlineStr">
        <is>
          <t>Monitor Libyan official publications and social-security fund disclosures; keep as disclosure gap.</t>
        </is>
      </c>
      <c r="U12" s="14" t="inlineStr">
        <is>
          <t>2026-06-05</t>
        </is>
      </c>
      <c r="V12" s="14" t="inlineStr">
        <is>
          <t>Limited alts beyond domestic bank deposits and real estate.</t>
        </is>
      </c>
    </row>
    <row r="13" ht="60" customHeight="1" s="26">
      <c r="A13" s="22" t="inlineStr">
        <is>
          <t>P1</t>
        </is>
      </c>
      <c r="B13" s="14" t="inlineStr">
        <is>
          <t>Checked - candidate OPCI real-estate lead found, no PE/infra fund commitment</t>
        </is>
      </c>
      <c r="C13" s="14" t="inlineStr">
        <is>
          <t>Morocco</t>
        </is>
      </c>
      <c r="D13" s="14" t="inlineStr">
        <is>
          <t>CNSS Morocco</t>
        </is>
      </c>
      <c r="E13" s="14" t="inlineStr">
        <is>
          <t>Public PF</t>
        </is>
      </c>
      <c r="F13" s="14" t="n">
        <v>8500</v>
      </c>
      <c r="G13" s="14" t="n">
        <v>2024</v>
      </c>
      <c r="H13" s="14" t="inlineStr">
        <is>
          <t>French; Arabic</t>
        </is>
      </c>
      <c r="I13" s="14" t="inlineStr">
        <is>
          <t>CNSS Morocco; CNSS</t>
        </is>
      </c>
      <c r="J13" s="14" t="inlineStr">
        <is>
          <t>annual report; audited financial statements; investment policy; portfolio holdings; public fund register; regulator filing</t>
        </is>
      </c>
      <c r="K13" s="14" t="inlineStr">
        <is>
          <t>ACAPS; AMMC fund register; CDG/CMR/RCAR annual reports</t>
        </is>
      </c>
      <c r="L13" s="14" t="n">
        <v>2</v>
      </c>
      <c r="M13" s="14" t="n">
        <v>1</v>
      </c>
      <c r="N13" s="14" t="n">
        <v>0</v>
      </c>
      <c r="O13" s="14" t="inlineStr">
        <is>
          <t>Partial - CNSS statistical report coverage and Morocco financial-stability/innovative-financing trail checked</t>
        </is>
      </c>
      <c r="P13" s="14" t="inlineStr">
        <is>
          <t>CNSS AMO statistical report 2023 coverage; Morocco 2024 financial-stability coverage</t>
        </is>
      </c>
      <c r="Q13" s="14" t="inlineStr">
        <is>
          <t>Yes - French/Arabic public sources checked at search-result level</t>
        </is>
      </c>
      <c r="R13" s="14" t="inlineStr">
        <is>
          <t>CNSS OPCI state-asset acquisition vehicle</t>
        </is>
      </c>
      <c r="S13" s="14" t="n"/>
      <c r="T13" s="14" t="inlineStr">
        <is>
          <t>Resolve OPCI vehicle name/size via AMMC/state-domain reports; likely exclude unless real estate/OPCI vehicles are included.</t>
        </is>
      </c>
      <c r="U13" s="14" t="inlineStr">
        <is>
          <t>2026-06-05</t>
        </is>
      </c>
      <c r="V13" s="14" t="inlineStr">
        <is>
          <t>Verify recent allocations under post-2020 reform.</t>
        </is>
      </c>
    </row>
    <row r="14" ht="90" customHeight="1" s="26">
      <c r="A14" s="22" t="inlineStr">
        <is>
          <t>P1</t>
        </is>
      </c>
      <c r="B14" s="14" t="inlineStr">
        <is>
          <t>Checked - no named African alts commitment found in initial official/public docs</t>
        </is>
      </c>
      <c r="C14" s="14" t="inlineStr">
        <is>
          <t>Morocco</t>
        </is>
      </c>
      <c r="D14" s="14" t="inlineStr">
        <is>
          <t>CIMR</t>
        </is>
      </c>
      <c r="E14" s="14" t="inlineStr">
        <is>
          <t>Private complementary PF</t>
        </is>
      </c>
      <c r="F14" s="14" t="n">
        <v>8500</v>
      </c>
      <c r="G14" s="14" t="n">
        <v>2024</v>
      </c>
      <c r="H14" s="14" t="inlineStr">
        <is>
          <t>French; Arabic</t>
        </is>
      </c>
      <c r="I14" s="14" t="inlineStr">
        <is>
          <t>CIMR</t>
        </is>
      </c>
      <c r="J14" s="14" t="inlineStr">
        <is>
          <t>annual report; audited financial statements; investment policy; portfolio holdings; public fund register; regulator filing</t>
        </is>
      </c>
      <c r="K14" s="14" t="inlineStr">
        <is>
          <t>ACAPS; AMMC fund register; CDG/CMR/RCAR annual reports</t>
        </is>
      </c>
      <c r="L14" s="14" t="n">
        <v>0</v>
      </c>
      <c r="M14" s="14" t="n">
        <v>0</v>
      </c>
      <c r="N14" s="14" t="n">
        <v>0</v>
      </c>
      <c r="O14" s="14" t="inlineStr">
        <is>
          <t>Partial - CIMR documentation page and 2023 portfolio coverage checked</t>
        </is>
      </c>
      <c r="P14" s="14" t="inlineStr">
        <is>
          <t>CIMR documentation page with 2024 annual report availability; 2023 portfolio coverage</t>
        </is>
      </c>
      <c r="Q14" s="14" t="inlineStr">
        <is>
          <t>Yes - French sources checked</t>
        </is>
      </c>
      <c r="R14" s="14" t="inlineStr">
        <is>
          <t>None</t>
        </is>
      </c>
      <c r="S14" s="14" t="inlineStr">
        <is>
          <t>Public sources indicate portfolio size and annual reports, but no named private equity, infrastructure, or direct alternative vehicle found in initial sweep.</t>
        </is>
      </c>
      <c r="T14" s="14" t="inlineStr">
        <is>
          <t>Open full CIMR annual report PDF for detailed asset schedule if available; otherwise retain as no named commitment found.</t>
        </is>
      </c>
      <c r="U14" s="14" t="inlineStr">
        <is>
          <t>2026-06-05</t>
        </is>
      </c>
      <c r="V14" s="14" t="inlineStr">
        <is>
          <t>Verify Africa-alts exposure; primarily Moroccan.</t>
        </is>
      </c>
    </row>
    <row r="15" ht="75" customHeight="1" s="26">
      <c r="A15" s="22" t="inlineStr">
        <is>
          <t>P1</t>
        </is>
      </c>
      <c r="B15" s="14" t="inlineStr">
        <is>
          <t>Checked - official annual/regulator sources reviewed, no additional named commitments found</t>
        </is>
      </c>
      <c r="C15" s="14" t="inlineStr">
        <is>
          <t>Botswana</t>
        </is>
      </c>
      <c r="D15" s="14" t="inlineStr">
        <is>
          <t>Botswana Public Officers Pension Fund (BPOPF)</t>
        </is>
      </c>
      <c r="E15" s="14" t="inlineStr">
        <is>
          <t>Public PF</t>
        </is>
      </c>
      <c r="F15" s="14" t="n">
        <v>7500</v>
      </c>
      <c r="G15" s="14" t="n">
        <v>2024</v>
      </c>
      <c r="H15" s="14" t="inlineStr">
        <is>
          <t>English</t>
        </is>
      </c>
      <c r="I15" s="14" t="inlineStr">
        <is>
          <t>Botswana Public Officers Pension Fund (BPOPF)</t>
        </is>
      </c>
      <c r="J15" s="14" t="inlineStr">
        <is>
          <t>annual report; audited financial statements; investment policy; portfolio holdings; public fund register; regulator filing</t>
        </is>
      </c>
      <c r="K15" s="14" t="inlineStr">
        <is>
          <t>Allocator site; regulator site; ministry or parliamentary filings</t>
        </is>
      </c>
      <c r="L15" s="14" t="n">
        <v>5</v>
      </c>
      <c r="M15" s="14" t="n">
        <v>0</v>
      </c>
      <c r="N15" s="14" t="n">
        <v>0</v>
      </c>
      <c r="O15" s="14" t="inlineStr">
        <is>
          <t>Partial - BPOPF annual reports page and NBFIRA 2024 annual report checked</t>
        </is>
      </c>
      <c r="P15" s="14" t="inlineStr">
        <is>
          <t>BPOPF Annual Reports page 2024/25; NBFIRA Annual Report 2024</t>
        </is>
      </c>
      <c r="Q15" s="14" t="inlineStr">
        <is>
          <t>N/A - English disclosure</t>
        </is>
      </c>
      <c r="R15" s="14" t="inlineStr">
        <is>
          <t>None beyond existing BPOPF incubation/unlisted manager leads</t>
        </is>
      </c>
      <c r="S15" s="14" t="inlineStr">
        <is>
          <t>Official/regulator sources support unlisted allocation context but no new named allocator-to-vehicle commitment beyond existing rows/leads.</t>
        </is>
      </c>
      <c r="T15" s="14" t="inlineStr">
        <is>
          <t>Open full BPOPF 2024/25 report for detailed manager schedule if needed; continue following BPOPF incubation tender disclosures.</t>
        </is>
      </c>
      <c r="U15" s="14" t="inlineStr">
        <is>
          <t>2026-06-05</t>
        </is>
      </c>
      <c r="V15" s="14" t="inlineStr">
        <is>
          <t>Has used mandates for African private equity (e.g., RMB, Vantage, local SA managers).</t>
        </is>
      </c>
    </row>
    <row r="16" ht="90" customHeight="1" s="26">
      <c r="A16" s="22" t="inlineStr">
        <is>
          <t>P1</t>
        </is>
      </c>
      <c r="B16" s="14" t="inlineStr">
        <is>
          <t>Checked - no named alts commitment found; conservative bond/securities focus</t>
        </is>
      </c>
      <c r="C16" s="14" t="inlineStr">
        <is>
          <t>Tanzania</t>
        </is>
      </c>
      <c r="D16" s="14" t="inlineStr">
        <is>
          <t>PSSSF</t>
        </is>
      </c>
      <c r="E16" s="14" t="inlineStr">
        <is>
          <t>Consolidated public PF</t>
        </is>
      </c>
      <c r="F16" s="14" t="n">
        <v>6000</v>
      </c>
      <c r="G16" s="14" t="n">
        <v>2024</v>
      </c>
      <c r="H16" s="14" t="inlineStr">
        <is>
          <t>English; Swahili</t>
        </is>
      </c>
      <c r="I16" s="14" t="inlineStr">
        <is>
          <t>PSSSF</t>
        </is>
      </c>
      <c r="J16" s="14" t="inlineStr">
        <is>
          <t>annual report; audited financial statements; investment policy; portfolio holdings; public fund register; regulator filing</t>
        </is>
      </c>
      <c r="K16" s="14" t="inlineStr">
        <is>
          <t>Bank of Tanzania social security investment guidelines; PSSSF/NSSF annual reports</t>
        </is>
      </c>
      <c r="L16" s="14" t="n">
        <v>0</v>
      </c>
      <c r="M16" s="14" t="n">
        <v>2</v>
      </c>
      <c r="N16" s="14" t="n">
        <v>1</v>
      </c>
      <c r="O16" s="14" t="inlineStr">
        <is>
          <t>Partial - local official-remarks coverage checked</t>
        </is>
      </c>
      <c r="P16" s="14" t="inlineStr">
        <is>
          <t>Daily News coverage of PSSSF 2024/25 bond/securities investment performance</t>
        </is>
      </c>
      <c r="Q16" s="14" t="inlineStr">
        <is>
          <t>N/A/Partial - English local source checked; Swahili source not needed for identified disclosure</t>
        </is>
      </c>
      <c r="R16" s="14" t="inlineStr">
        <is>
          <t>None</t>
        </is>
      </c>
      <c r="S16" s="14" t="inlineStr">
        <is>
          <t>Reviewed source emphasizes government bonds/securities and Bank of Tanzania guideline alignment; no private equity/infrastructure fund commitment found.</t>
        </is>
      </c>
      <c r="T16" s="14" t="inlineStr">
        <is>
          <t>Locate full PSSSF annual report/investment schedule if public; otherwise retain no named commitment.</t>
        </is>
      </c>
      <c r="U16" s="14" t="inlineStr">
        <is>
          <t>2026-06-05</t>
        </is>
      </c>
      <c r="V16" s="14" t="inlineStr">
        <is>
          <t>Historically conservative; verify any alts commitments.</t>
        </is>
      </c>
    </row>
    <row r="17" ht="45" customHeight="1" s="26">
      <c r="A17" s="24" t="inlineStr">
        <is>
          <t>P2</t>
        </is>
      </c>
      <c r="B17" s="14" t="inlineStr">
        <is>
          <t>Seeded - official/source docs exist, verify latest local-language disclosures</t>
        </is>
      </c>
      <c r="C17" s="14" t="inlineStr">
        <is>
          <t>Uganda</t>
        </is>
      </c>
      <c r="D17" s="14" t="inlineStr">
        <is>
          <t>NSSF Uganda</t>
        </is>
      </c>
      <c r="E17" s="14" t="inlineStr">
        <is>
          <t>Public PF</t>
        </is>
      </c>
      <c r="F17" s="14" t="n">
        <v>5800</v>
      </c>
      <c r="G17" s="14" t="n">
        <v>2024</v>
      </c>
      <c r="H17" s="14" t="inlineStr">
        <is>
          <t>English</t>
        </is>
      </c>
      <c r="I17" s="14" t="inlineStr">
        <is>
          <t>NSSF Uganda; National Social Security Fund Uganda</t>
        </is>
      </c>
      <c r="J17" s="14" t="inlineStr">
        <is>
          <t>annual report; audited financial statements; investment policy; portfolio holdings; public fund register; regulator filing</t>
        </is>
      </c>
      <c r="K17" s="14" t="inlineStr">
        <is>
          <t>URBRA; NSSF annual reports; CMA/USE disclosures</t>
        </is>
      </c>
      <c r="L17" s="14" t="n">
        <v>4</v>
      </c>
      <c r="M17" s="14" t="n">
        <v>8</v>
      </c>
      <c r="N17" s="14" t="n">
        <v>5</v>
      </c>
      <c r="O17" s="14" t="inlineStr">
        <is>
          <t>No - sweep row seeded only</t>
        </is>
      </c>
      <c r="P17" s="14" t="n"/>
      <c r="Q17" s="14" t="inlineStr">
        <is>
          <t>No</t>
        </is>
      </c>
      <c r="R17" s="14" t="n"/>
      <c r="S17" s="14" t="n"/>
      <c r="T17" s="14" t="inlineStr">
        <is>
          <t>Run official-document and local-language query batch; record latest docs checked and add candidate rows where allocator-to-vehicle evidence appears.</t>
        </is>
      </c>
      <c r="U17" s="14" t="inlineStr">
        <is>
          <t>2026-06-05</t>
        </is>
      </c>
      <c r="V17" s="14" t="inlineStr">
        <is>
          <t>Disclosed commitments to PE/VC funds (Catalyst Fund II historically, etc.); verify current.</t>
        </is>
      </c>
    </row>
    <row r="18" ht="45" customHeight="1" s="26">
      <c r="A18" s="22" t="inlineStr">
        <is>
          <t>P1</t>
        </is>
      </c>
      <c r="B18" s="14" t="inlineStr">
        <is>
          <t>Not started - official disclosure sweep required</t>
        </is>
      </c>
      <c r="C18" s="14" t="inlineStr">
        <is>
          <t>Sentinel</t>
        </is>
      </c>
      <c r="D18" s="14" t="inlineStr">
        <is>
          <t>Sentinel Retirement Fund (SA)</t>
        </is>
      </c>
      <c r="E18" s="14" t="inlineStr">
        <is>
          <t>Multi-employer PF</t>
        </is>
      </c>
      <c r="F18" s="14" t="n">
        <v>6000</v>
      </c>
      <c r="G18" s="14" t="n">
        <v>2024</v>
      </c>
      <c r="H18" s="14" t="inlineStr">
        <is>
          <t>English</t>
        </is>
      </c>
      <c r="I18" s="14" t="inlineStr">
        <is>
          <t>Sentinel Retirement Fund (SA)</t>
        </is>
      </c>
      <c r="J18" s="14" t="inlineStr">
        <is>
          <t>annual report; audited financial statements; investment policy; portfolio holdings; public fund register; regulator filing</t>
        </is>
      </c>
      <c r="K18" s="14" t="inlineStr">
        <is>
          <t>Allocator site; regulator site; ministry or parliamentary filings</t>
        </is>
      </c>
      <c r="L18" s="14" t="n">
        <v>0</v>
      </c>
      <c r="M18" s="14" t="n">
        <v>0</v>
      </c>
      <c r="N18" s="14" t="n">
        <v>0</v>
      </c>
      <c r="O18" s="14" t="inlineStr">
        <is>
          <t>No - sweep row seeded only</t>
        </is>
      </c>
      <c r="P18" s="14" t="n"/>
      <c r="Q18" s="14" t="inlineStr">
        <is>
          <t>No</t>
        </is>
      </c>
      <c r="R18" s="14" t="n"/>
      <c r="S18" s="14" t="n"/>
      <c r="T18" s="14" t="inlineStr">
        <is>
          <t>Run official-document and local-language query batch; record latest docs checked and add candidate rows where allocator-to-vehicle evidence appears.</t>
        </is>
      </c>
      <c r="U18" s="14" t="inlineStr">
        <is>
          <t>2026-06-05</t>
        </is>
      </c>
      <c r="V18" s="14" t="inlineStr">
        <is>
          <t>Uses alts mandate managers (Old Mutual Alternative Investments, etc.).</t>
        </is>
      </c>
    </row>
    <row r="19" ht="45" customHeight="1" s="26">
      <c r="A19" s="22" t="inlineStr">
        <is>
          <t>P1</t>
        </is>
      </c>
      <c r="B19" s="14" t="inlineStr">
        <is>
          <t>Not started - official disclosure sweep required</t>
        </is>
      </c>
      <c r="C19" s="14" t="inlineStr">
        <is>
          <t>South Africa</t>
        </is>
      </c>
      <c r="D19" s="14" t="inlineStr">
        <is>
          <t>Transnet Retirement Fund</t>
        </is>
      </c>
      <c r="E19" s="14" t="inlineStr">
        <is>
          <t>Parastatal PF</t>
        </is>
      </c>
      <c r="F19" s="14" t="n">
        <v>5500</v>
      </c>
      <c r="G19" s="14" t="n">
        <v>2024</v>
      </c>
      <c r="H19" s="14" t="inlineStr">
        <is>
          <t>English</t>
        </is>
      </c>
      <c r="I19" s="14" t="inlineStr">
        <is>
          <t>Transnet Retirement Fund</t>
        </is>
      </c>
      <c r="J19" s="14" t="inlineStr">
        <is>
          <t>annual report; audited financial statements; investment policy; portfolio holdings; public fund register; regulator filing</t>
        </is>
      </c>
      <c r="K19" s="14" t="inlineStr">
        <is>
          <t>FSCA; PIC/GEPF annual reports; parliamentary/PMG filings</t>
        </is>
      </c>
      <c r="L19" s="14" t="n">
        <v>0</v>
      </c>
      <c r="M19" s="14" t="n">
        <v>0</v>
      </c>
      <c r="N19" s="14" t="n">
        <v>0</v>
      </c>
      <c r="O19" s="14" t="inlineStr">
        <is>
          <t>No - sweep row seeded only</t>
        </is>
      </c>
      <c r="P19" s="14" t="n"/>
      <c r="Q19" s="14" t="inlineStr">
        <is>
          <t>No</t>
        </is>
      </c>
      <c r="R19" s="14" t="n"/>
      <c r="S19" s="14" t="n"/>
      <c r="T19" s="14" t="inlineStr">
        <is>
          <t>Run official-document and local-language query batch; record latest docs checked and add candidate rows where allocator-to-vehicle evidence appears.</t>
        </is>
      </c>
      <c r="U19" s="14" t="inlineStr">
        <is>
          <t>2026-06-05</t>
        </is>
      </c>
      <c r="V19" s="14" t="inlineStr">
        <is>
          <t>PIC and external alts managers.</t>
        </is>
      </c>
    </row>
    <row r="20" ht="45" customHeight="1" s="26">
      <c r="A20" s="22" t="inlineStr">
        <is>
          <t>P1</t>
        </is>
      </c>
      <c r="B20" s="14" t="inlineStr">
        <is>
          <t>Not started - official disclosure sweep required</t>
        </is>
      </c>
      <c r="C20" s="14" t="inlineStr">
        <is>
          <t>Botswana</t>
        </is>
      </c>
      <c r="D20" s="14" t="inlineStr">
        <is>
          <t>Pula Fund</t>
        </is>
      </c>
      <c r="E20" s="14" t="inlineStr">
        <is>
          <t>SWF (savings)</t>
        </is>
      </c>
      <c r="F20" s="14" t="n">
        <v>5000</v>
      </c>
      <c r="G20" s="14" t="n">
        <v>2024</v>
      </c>
      <c r="H20" s="14" t="inlineStr">
        <is>
          <t>English</t>
        </is>
      </c>
      <c r="I20" s="14" t="inlineStr">
        <is>
          <t>Pula Fund</t>
        </is>
      </c>
      <c r="J20" s="14" t="inlineStr">
        <is>
          <t>annual report; audited financial statements; investment policy; portfolio holdings; public fund register; regulator filing</t>
        </is>
      </c>
      <c r="K20" s="14" t="inlineStr">
        <is>
          <t>Allocator site; regulator site; ministry or parliamentary filings</t>
        </is>
      </c>
      <c r="L20" s="14" t="n">
        <v>0</v>
      </c>
      <c r="M20" s="14" t="n">
        <v>0</v>
      </c>
      <c r="N20" s="14" t="n">
        <v>0</v>
      </c>
      <c r="O20" s="14" t="inlineStr">
        <is>
          <t>No - sweep row seeded only</t>
        </is>
      </c>
      <c r="P20" s="14" t="n"/>
      <c r="Q20" s="14" t="inlineStr">
        <is>
          <t>No</t>
        </is>
      </c>
      <c r="R20" s="14" t="n"/>
      <c r="S20" s="14" t="n"/>
      <c r="T20" s="14" t="inlineStr">
        <is>
          <t>Run official-document and local-language query batch; record latest docs checked and add candidate rows where allocator-to-vehicle evidence appears.</t>
        </is>
      </c>
      <c r="U20" s="14" t="inlineStr">
        <is>
          <t>2026-06-05</t>
        </is>
      </c>
      <c r="V20" s="14" t="inlineStr">
        <is>
          <t>Predominantly global fixed income and equities; minimal Africa-alts exposure.</t>
        </is>
      </c>
    </row>
    <row r="21" ht="105" customHeight="1" s="26">
      <c r="A21" s="23" t="inlineStr">
        <is>
          <t>P0</t>
        </is>
      </c>
      <c r="B21" s="14" t="inlineStr">
        <is>
          <t>Checked - no named African alts commitment found in trustee report</t>
        </is>
      </c>
      <c r="C21" s="14" t="inlineStr">
        <is>
          <t>South Africa</t>
        </is>
      </c>
      <c r="D21" s="14" t="inlineStr">
        <is>
          <t>Sanlam Umbrella Fund</t>
        </is>
      </c>
      <c r="E21" s="14" t="inlineStr">
        <is>
          <t>Umbrella DC</t>
        </is>
      </c>
      <c r="F21" s="14" t="n">
        <v>10000</v>
      </c>
      <c r="G21" s="14" t="n">
        <v>2024</v>
      </c>
      <c r="H21" s="14" t="inlineStr">
        <is>
          <t>English</t>
        </is>
      </c>
      <c r="I21" s="14" t="inlineStr">
        <is>
          <t>Sanlam Umbrella Fund</t>
        </is>
      </c>
      <c r="J21" s="14" t="inlineStr">
        <is>
          <t>annual report; audited financial statements; investment policy; portfolio holdings; public fund register; regulator filing</t>
        </is>
      </c>
      <c r="K21" s="14" t="inlineStr">
        <is>
          <t>FSCA; PIC/GEPF annual reports; parliamentary/PMG filings</t>
        </is>
      </c>
      <c r="L21" s="14" t="n">
        <v>0</v>
      </c>
      <c r="M21" s="14" t="n">
        <v>0</v>
      </c>
      <c r="N21" s="14" t="n">
        <v>0</v>
      </c>
      <c r="O21" s="14" t="inlineStr">
        <is>
          <t>Yes - 2024 Annual Trustee Report checked at summary/search level</t>
        </is>
      </c>
      <c r="P21" s="14" t="inlineStr">
        <is>
          <t>Sanlam Umbrella Fund Annual Trustee Report 2024</t>
        </is>
      </c>
      <c r="Q21" s="14" t="inlineStr">
        <is>
          <t>N/A - English disclosure</t>
        </is>
      </c>
      <c r="R21" s="14" t="inlineStr">
        <is>
          <t>None</t>
        </is>
      </c>
      <c r="S21" s="14" t="inlineStr">
        <is>
          <t>Trustee report covers governance/responsible investment and member fund operations, but no named African PE/infra/private-credit/direct-investment commitments were found.</t>
        </is>
      </c>
      <c r="T21" s="14" t="inlineStr">
        <is>
          <t>If needed, inspect full summarized financial statements/fund option reports for underlying asset-manager exposure, but no allocator-to-vehicle evidence found.</t>
        </is>
      </c>
      <c r="U21" s="14" t="inlineStr">
        <is>
          <t>2026-06-05</t>
        </is>
      </c>
      <c r="V21" s="14" t="inlineStr">
        <is>
          <t>Alts allocation handled by underlying portfolio managers.</t>
        </is>
      </c>
    </row>
    <row r="22" ht="90" customHeight="1" s="26">
      <c r="A22" s="22" t="inlineStr">
        <is>
          <t>P1</t>
        </is>
      </c>
      <c r="B22" s="14" t="inlineStr">
        <is>
          <t>Checked - official annual reports available, no new named commitment found in initial pass</t>
        </is>
      </c>
      <c r="C22" s="14" t="inlineStr">
        <is>
          <t>South Africa</t>
        </is>
      </c>
      <c r="D22" s="14" t="inlineStr">
        <is>
          <t>Eskom Pension and Provident Fund (EPPF)</t>
        </is>
      </c>
      <c r="E22" s="14" t="inlineStr">
        <is>
          <t>Parastatal PF</t>
        </is>
      </c>
      <c r="F22" s="14" t="n">
        <v>10000</v>
      </c>
      <c r="G22" s="14" t="n">
        <v>2024</v>
      </c>
      <c r="H22" s="14" t="inlineStr">
        <is>
          <t>English</t>
        </is>
      </c>
      <c r="I22" s="14" t="inlineStr">
        <is>
          <t>Eskom Pension and Provident Fund (EPPF)</t>
        </is>
      </c>
      <c r="J22" s="14" t="inlineStr">
        <is>
          <t>annual report; audited financial statements; investment policy; portfolio holdings; public fund register; regulator filing</t>
        </is>
      </c>
      <c r="K22" s="14" t="inlineStr">
        <is>
          <t>FSCA; PIC/GEPF annual reports; parliamentary/PMG filings</t>
        </is>
      </c>
      <c r="L22" s="14" t="n">
        <v>1</v>
      </c>
      <c r="M22" s="14" t="n">
        <v>1</v>
      </c>
      <c r="N22" s="14" t="n">
        <v>1</v>
      </c>
      <c r="O22" s="14" t="inlineStr">
        <is>
          <t>Partial - EPPF annual reports page and 2024/2025 report availability checked</t>
        </is>
      </c>
      <c r="P22" s="14" t="inlineStr">
        <is>
          <t>EPPF Annual Reports page including 2025 Integrated Annual Report; 2024 IAR/AFS links</t>
        </is>
      </c>
      <c r="Q22" s="14" t="inlineStr">
        <is>
          <t>N/A - English disclosure</t>
        </is>
      </c>
      <c r="R22" s="14" t="inlineStr">
        <is>
          <t>None beyond existing multiple PE funds row</t>
        </is>
      </c>
      <c r="S22" s="14" t="inlineStr">
        <is>
          <t>EPPF discloses report availability and broad investment material; initial sweep did not find a new named African fund/deal commitment beyond existing PE exposure.</t>
        </is>
      </c>
      <c r="T22" s="14" t="inlineStr">
        <is>
          <t>Open full 2025 IAR/AFS investment schedule for named manager/fund detail if available.</t>
        </is>
      </c>
      <c r="U22" s="14" t="inlineStr">
        <is>
          <t>2026-06-05</t>
        </is>
      </c>
      <c r="V22" s="14" t="inlineStr">
        <is>
          <t>Disclosed alts mandates including unlisted equity.</t>
        </is>
      </c>
    </row>
    <row r="23" ht="45" customHeight="1" s="26">
      <c r="A23" s="24" t="inlineStr">
        <is>
          <t>P2</t>
        </is>
      </c>
      <c r="B23" s="14" t="inlineStr">
        <is>
          <t>Seeded - official/source docs exist, verify latest local-language disclosures</t>
        </is>
      </c>
      <c r="C23" s="14" t="inlineStr">
        <is>
          <t>Ghana</t>
        </is>
      </c>
      <c r="D23" s="14" t="inlineStr">
        <is>
          <t>SSNIT</t>
        </is>
      </c>
      <c r="E23" s="14" t="inlineStr">
        <is>
          <t>Public PF (mandatory)</t>
        </is>
      </c>
      <c r="F23" s="14" t="n">
        <v>3000</v>
      </c>
      <c r="G23" s="14" t="n">
        <v>2023</v>
      </c>
      <c r="H23" s="14" t="inlineStr">
        <is>
          <t>English</t>
        </is>
      </c>
      <c r="I23" s="14" t="inlineStr">
        <is>
          <t>SSNIT; Social Security and National Insurance Trust</t>
        </is>
      </c>
      <c r="J23" s="14" t="inlineStr">
        <is>
          <t>annual report; audited financial statements; investment policy; portfolio holdings; public fund register; regulator filing</t>
        </is>
      </c>
      <c r="K23" s="14" t="inlineStr">
        <is>
          <t>NPRA; SSNIT annual reports; VCTF annual reports</t>
        </is>
      </c>
      <c r="L23" s="14" t="n">
        <v>6</v>
      </c>
      <c r="M23" s="14" t="n">
        <v>5</v>
      </c>
      <c r="N23" s="14" t="n">
        <v>1</v>
      </c>
      <c r="O23" s="14" t="inlineStr">
        <is>
          <t>No - sweep row seeded only</t>
        </is>
      </c>
      <c r="P23" s="14" t="n"/>
      <c r="Q23" s="14" t="inlineStr">
        <is>
          <t>No</t>
        </is>
      </c>
      <c r="R23" s="14" t="n"/>
      <c r="S23" s="14" t="n"/>
      <c r="T23" s="14" t="inlineStr">
        <is>
          <t>Run official-document and local-language query batch; record latest docs checked and add candidate rows where allocator-to-vehicle evidence appears.</t>
        </is>
      </c>
      <c r="U23" s="14" t="inlineStr">
        <is>
          <t>2026-06-05</t>
        </is>
      </c>
      <c r="V23" s="14" t="inlineStr">
        <is>
          <t>Has made direct equity investments in Ghanaian listed/unlisted firms (banking, real estate).</t>
        </is>
      </c>
    </row>
    <row r="24" ht="45" customHeight="1" s="26">
      <c r="A24" s="22" t="inlineStr">
        <is>
          <t>P1</t>
        </is>
      </c>
      <c r="B24" s="14" t="inlineStr">
        <is>
          <t>Seeded - official/source docs exist, verify latest local-language disclosures</t>
        </is>
      </c>
      <c r="C24" s="14" t="inlineStr">
        <is>
          <t>Kenya</t>
        </is>
      </c>
      <c r="D24" s="14" t="inlineStr">
        <is>
          <t>NSSF Kenya</t>
        </is>
      </c>
      <c r="E24" s="14" t="inlineStr">
        <is>
          <t>Public PF (mandatory)</t>
        </is>
      </c>
      <c r="F24" s="14" t="n">
        <v>3200</v>
      </c>
      <c r="G24" s="14" t="n">
        <v>2024</v>
      </c>
      <c r="H24" s="14" t="inlineStr">
        <is>
          <t>English; Swahili</t>
        </is>
      </c>
      <c r="I24" s="14" t="inlineStr">
        <is>
          <t>NSSF Kenya; National Social Security Fund Kenya</t>
        </is>
      </c>
      <c r="J24" s="14" t="inlineStr">
        <is>
          <t>annual report; audited financial statements; investment policy; portfolio holdings; public fund register; regulator filing</t>
        </is>
      </c>
      <c r="K24" s="14" t="inlineStr">
        <is>
          <t>RBA; NSSF annual reports; KEPFIC member disclosures</t>
        </is>
      </c>
      <c r="L24" s="14" t="n">
        <v>0</v>
      </c>
      <c r="M24" s="14" t="n">
        <v>2</v>
      </c>
      <c r="N24" s="14" t="n">
        <v>1</v>
      </c>
      <c r="O24" s="14" t="inlineStr">
        <is>
          <t>No - sweep row seeded only</t>
        </is>
      </c>
      <c r="P24" s="14" t="n"/>
      <c r="Q24" s="14" t="inlineStr">
        <is>
          <t>No</t>
        </is>
      </c>
      <c r="R24" s="14" t="n"/>
      <c r="S24" s="14" t="n"/>
      <c r="T24" s="14" t="inlineStr">
        <is>
          <t>Run official-document and local-language query batch; record latest docs checked and add candidate rows where allocator-to-vehicle evidence appears.</t>
        </is>
      </c>
      <c r="U24" s="14" t="inlineStr">
        <is>
          <t>2026-06-05</t>
        </is>
      </c>
      <c r="V24" s="14" t="inlineStr">
        <is>
          <t>Mostly bonds/equities; verify any PE fund commitments (historically limited).</t>
        </is>
      </c>
    </row>
    <row r="25" ht="45" customHeight="1" s="26">
      <c r="A25" s="22" t="inlineStr">
        <is>
          <t>P1</t>
        </is>
      </c>
      <c r="B25" s="14" t="inlineStr">
        <is>
          <t>Not started - official disclosure sweep required</t>
        </is>
      </c>
      <c r="C25" s="14" t="inlineStr">
        <is>
          <t>Algeria</t>
        </is>
      </c>
      <c r="D25" s="14" t="inlineStr">
        <is>
          <t>CNR Algeria</t>
        </is>
      </c>
      <c r="E25" s="14" t="inlineStr">
        <is>
          <t>Public PF</t>
        </is>
      </c>
      <c r="F25" s="14" t="n">
        <v>3000</v>
      </c>
      <c r="G25" s="14" t="n">
        <v>2023</v>
      </c>
      <c r="H25" s="14" t="inlineStr">
        <is>
          <t>French; Arabic</t>
        </is>
      </c>
      <c r="I25" s="14" t="inlineStr">
        <is>
          <t>CNR Algeria</t>
        </is>
      </c>
      <c r="J25" s="14" t="inlineStr">
        <is>
          <t>annual report; audited financial statements; investment policy; portfolio holdings; public fund register; regulator filing</t>
        </is>
      </c>
      <c r="K25" s="14" t="inlineStr">
        <is>
          <t>CNR/CASNOS/ministry disclosures; French/Arabic public reports</t>
        </is>
      </c>
      <c r="L25" s="14" t="n">
        <v>0</v>
      </c>
      <c r="M25" s="14" t="n">
        <v>0</v>
      </c>
      <c r="N25" s="14" t="n">
        <v>0</v>
      </c>
      <c r="O25" s="14" t="inlineStr">
        <is>
          <t>No - sweep row seeded only</t>
        </is>
      </c>
      <c r="P25" s="14" t="n"/>
      <c r="Q25" s="14" t="inlineStr">
        <is>
          <t>No</t>
        </is>
      </c>
      <c r="R25" s="14" t="n"/>
      <c r="S25" s="14" t="n"/>
      <c r="T25" s="14" t="inlineStr">
        <is>
          <t>Run official-document and local-language query batch; record latest docs checked and add candidate rows where allocator-to-vehicle evidence appears.</t>
        </is>
      </c>
      <c r="U25" s="14" t="inlineStr">
        <is>
          <t>2026-06-05</t>
        </is>
      </c>
      <c r="V25" s="14" t="inlineStr">
        <is>
          <t>Limited disclosure; alts likely minimal.</t>
        </is>
      </c>
    </row>
    <row r="26" ht="45" customHeight="1" s="26">
      <c r="A26" s="22" t="inlineStr">
        <is>
          <t>P1</t>
        </is>
      </c>
      <c r="B26" s="14" t="inlineStr">
        <is>
          <t>Not started - official disclosure sweep required</t>
        </is>
      </c>
      <c r="C26" s="14" t="inlineStr">
        <is>
          <t>Mauritius</t>
        </is>
      </c>
      <c r="D26" s="14" t="inlineStr">
        <is>
          <t>National Pensions Fund (NPF)</t>
        </is>
      </c>
      <c r="E26" s="14" t="inlineStr">
        <is>
          <t>Public PF</t>
        </is>
      </c>
      <c r="F26" s="14" t="n">
        <v>3000</v>
      </c>
      <c r="G26" s="14" t="n">
        <v>2024</v>
      </c>
      <c r="H26" s="14" t="inlineStr">
        <is>
          <t>English</t>
        </is>
      </c>
      <c r="I26" s="14" t="inlineStr">
        <is>
          <t>National Pensions Fund (NPF)</t>
        </is>
      </c>
      <c r="J26" s="14" t="inlineStr">
        <is>
          <t>annual report; audited financial statements; investment policy; portfolio holdings; public fund register; regulator filing</t>
        </is>
      </c>
      <c r="K26" s="14" t="inlineStr">
        <is>
          <t>Allocator site; regulator site; ministry or parliamentary filings</t>
        </is>
      </c>
      <c r="L26" s="14" t="n">
        <v>0</v>
      </c>
      <c r="M26" s="14" t="n">
        <v>0</v>
      </c>
      <c r="N26" s="14" t="n">
        <v>0</v>
      </c>
      <c r="O26" s="14" t="inlineStr">
        <is>
          <t>No - sweep row seeded only</t>
        </is>
      </c>
      <c r="P26" s="14" t="n"/>
      <c r="Q26" s="14" t="inlineStr">
        <is>
          <t>No</t>
        </is>
      </c>
      <c r="R26" s="14" t="n"/>
      <c r="S26" s="14" t="n"/>
      <c r="T26" s="14" t="inlineStr">
        <is>
          <t>Run official-document and local-language query batch; record latest docs checked and add candidate rows where allocator-to-vehicle evidence appears.</t>
        </is>
      </c>
      <c r="U26" s="14" t="inlineStr">
        <is>
          <t>2026-06-05</t>
        </is>
      </c>
      <c r="V26" s="14" t="inlineStr">
        <is>
          <t>Verify exposure to Mauritian-domiciled Africa funds.</t>
        </is>
      </c>
    </row>
    <row r="27" ht="45" customHeight="1" s="26">
      <c r="A27" s="22" t="inlineStr">
        <is>
          <t>P1</t>
        </is>
      </c>
      <c r="B27" s="14" t="inlineStr">
        <is>
          <t>Not started - official disclosure sweep required</t>
        </is>
      </c>
      <c r="C27" s="14" t="inlineStr">
        <is>
          <t>Nigeria</t>
        </is>
      </c>
      <c r="D27" s="14" t="inlineStr">
        <is>
          <t>Stanbic IBTC Pension Managers</t>
        </is>
      </c>
      <c r="E27" s="14" t="inlineStr">
        <is>
          <t>PFA (DC)</t>
        </is>
      </c>
      <c r="F27" s="14" t="n">
        <v>3500</v>
      </c>
      <c r="G27" s="14" t="n">
        <v>2024</v>
      </c>
      <c r="H27" s="14" t="inlineStr">
        <is>
          <t>English</t>
        </is>
      </c>
      <c r="I27" s="14" t="inlineStr">
        <is>
          <t>Stanbic IBTC Pension Managers</t>
        </is>
      </c>
      <c r="J27" s="14" t="inlineStr">
        <is>
          <t>annual report; audited financial statements; investment policy; portfolio holdings; public fund register; regulator filing</t>
        </is>
      </c>
      <c r="K27" s="14" t="inlineStr">
        <is>
          <t>PenCom; NSIA annual reports; PFA annual reports where public</t>
        </is>
      </c>
      <c r="L27" s="14" t="n">
        <v>1</v>
      </c>
      <c r="M27" s="14" t="n">
        <v>0</v>
      </c>
      <c r="N27" s="14" t="n">
        <v>0</v>
      </c>
      <c r="O27" s="14" t="inlineStr">
        <is>
          <t>No - sweep row seeded only</t>
        </is>
      </c>
      <c r="P27" s="14" t="n"/>
      <c r="Q27" s="14" t="inlineStr">
        <is>
          <t>No</t>
        </is>
      </c>
      <c r="R27" s="14" t="n"/>
      <c r="S27" s="14" t="n"/>
      <c r="T27" s="14" t="inlineStr">
        <is>
          <t>Run official-document and local-language query batch; record latest docs checked and add candidate rows where allocator-to-vehicle evidence appears.</t>
        </is>
      </c>
      <c r="U27" s="14" t="inlineStr">
        <is>
          <t>2026-06-05</t>
        </is>
      </c>
      <c r="V27" s="14" t="inlineStr">
        <is>
          <t>PenCom Multi-Fund Structure permits alts; Stanbic has made disclosed PE/infra fund commitments (e.g., African Capital Alliance, Vetiva, Sahel Capital).</t>
        </is>
      </c>
    </row>
    <row r="28" ht="45" customHeight="1" s="26">
      <c r="A28" s="24" t="inlineStr">
        <is>
          <t>P2</t>
        </is>
      </c>
      <c r="B28" s="14" t="inlineStr">
        <is>
          <t>Seeded - official/source docs exist, verify latest local-language disclosures</t>
        </is>
      </c>
      <c r="C28" s="14" t="inlineStr">
        <is>
          <t>Angola</t>
        </is>
      </c>
      <c r="D28" s="14" t="inlineStr">
        <is>
          <t>FSDEA</t>
        </is>
      </c>
      <c r="E28" s="14" t="inlineStr">
        <is>
          <t>SWF</t>
        </is>
      </c>
      <c r="F28" s="14" t="n">
        <v>3400</v>
      </c>
      <c r="G28" s="14" t="n">
        <v>2023</v>
      </c>
      <c r="H28" s="14" t="inlineStr">
        <is>
          <t>Portuguese</t>
        </is>
      </c>
      <c r="I28" s="14" t="inlineStr">
        <is>
          <t>FSDEA</t>
        </is>
      </c>
      <c r="J28" s="14" t="inlineStr">
        <is>
          <t>annual report; audited financial statements; investment policy; portfolio holdings; public fund register; regulator filing</t>
        </is>
      </c>
      <c r="K28" s="14" t="inlineStr">
        <is>
          <t>ARSEG; FSDEA annual reports; Portuguese public filings</t>
        </is>
      </c>
      <c r="L28" s="14" t="n">
        <v>3</v>
      </c>
      <c r="M28" s="14" t="n">
        <v>5</v>
      </c>
      <c r="N28" s="14" t="n">
        <v>1</v>
      </c>
      <c r="O28" s="14" t="inlineStr">
        <is>
          <t>No - sweep row seeded only</t>
        </is>
      </c>
      <c r="P28" s="14" t="n"/>
      <c r="Q28" s="14" t="inlineStr">
        <is>
          <t>No</t>
        </is>
      </c>
      <c r="R28" s="14" t="n"/>
      <c r="S28" s="14" t="n"/>
      <c r="T28" s="14" t="inlineStr">
        <is>
          <t>Run official-document and local-language query batch; record latest docs checked and add candidate rows where allocator-to-vehicle evidence appears.</t>
        </is>
      </c>
      <c r="U28" s="14" t="inlineStr">
        <is>
          <t>2026-06-05</t>
        </is>
      </c>
      <c r="V28" s="14" t="inlineStr">
        <is>
          <t>Has disclosed African PE/infra exposure (Quantum Global era under prior management; new mandate post-2018).</t>
        </is>
      </c>
    </row>
    <row r="29" ht="45" customHeight="1" s="26">
      <c r="A29" s="22" t="inlineStr">
        <is>
          <t>P1</t>
        </is>
      </c>
      <c r="B29" s="14" t="inlineStr">
        <is>
          <t>Seeded - official/source docs exist, verify latest local-language disclosures</t>
        </is>
      </c>
      <c r="C29" s="14" t="inlineStr">
        <is>
          <t>Ethiopia</t>
        </is>
      </c>
      <c r="D29" s="14" t="inlineStr">
        <is>
          <t>POESSA</t>
        </is>
      </c>
      <c r="E29" s="14" t="inlineStr">
        <is>
          <t>Civil-service PF</t>
        </is>
      </c>
      <c r="F29" s="14" t="n">
        <v>3500</v>
      </c>
      <c r="G29" s="14" t="n">
        <v>2024</v>
      </c>
      <c r="H29" s="14" t="inlineStr">
        <is>
          <t>Amharic; English</t>
        </is>
      </c>
      <c r="I29" s="14" t="inlineStr">
        <is>
          <t>POESSA</t>
        </is>
      </c>
      <c r="J29" s="14" t="inlineStr">
        <is>
          <t>annual report; audited financial statements; investment policy; portfolio holdings; public fund register; regulator filing</t>
        </is>
      </c>
      <c r="K29" s="14" t="inlineStr">
        <is>
          <t>POESSA/PSSSA materials; Ministry of Finance; NBE/ESE reform documents</t>
        </is>
      </c>
      <c r="L29" s="14" t="n">
        <v>0</v>
      </c>
      <c r="M29" s="14" t="n">
        <v>2</v>
      </c>
      <c r="N29" s="14" t="n">
        <v>2</v>
      </c>
      <c r="O29" s="14" t="inlineStr">
        <is>
          <t>No - sweep row seeded only</t>
        </is>
      </c>
      <c r="P29" s="14" t="n"/>
      <c r="Q29" s="14" t="inlineStr">
        <is>
          <t>No</t>
        </is>
      </c>
      <c r="R29" s="14" t="n"/>
      <c r="S29" s="14" t="n"/>
      <c r="T29" s="14" t="inlineStr">
        <is>
          <t>Run official-document and local-language query batch; record latest docs checked and add candidate rows where allocator-to-vehicle evidence appears.</t>
        </is>
      </c>
      <c r="U29" s="14" t="inlineStr">
        <is>
          <t>2026-06-05</t>
        </is>
      </c>
      <c r="V29" s="14" t="inlineStr">
        <is>
          <t>Verify any non-government-securities allocation.</t>
        </is>
      </c>
    </row>
    <row r="30" ht="45" customHeight="1" s="26">
      <c r="A30" s="24" t="inlineStr">
        <is>
          <t>P2</t>
        </is>
      </c>
      <c r="B30" s="14" t="inlineStr">
        <is>
          <t>Seeded - official/source docs exist, verify latest local-language disclosures</t>
        </is>
      </c>
      <c r="C30" s="14" t="inlineStr">
        <is>
          <t>Zambia</t>
        </is>
      </c>
      <c r="D30" s="14" t="inlineStr">
        <is>
          <t>NAPSA</t>
        </is>
      </c>
      <c r="E30" s="14" t="inlineStr">
        <is>
          <t>Public PF (mandatory)</t>
        </is>
      </c>
      <c r="F30" s="14" t="n">
        <v>2600</v>
      </c>
      <c r="G30" s="14" t="n">
        <v>2024</v>
      </c>
      <c r="H30" s="14" t="inlineStr">
        <is>
          <t>English</t>
        </is>
      </c>
      <c r="I30" s="14" t="inlineStr">
        <is>
          <t>NAPSA</t>
        </is>
      </c>
      <c r="J30" s="14" t="inlineStr">
        <is>
          <t>annual report; audited financial statements; investment policy; portfolio holdings; public fund register; regulator filing</t>
        </is>
      </c>
      <c r="K30" s="14" t="inlineStr">
        <is>
          <t>Allocator site; regulator site; ministry or parliamentary filings</t>
        </is>
      </c>
      <c r="L30" s="14" t="n">
        <v>1</v>
      </c>
      <c r="M30" s="14" t="n">
        <v>3</v>
      </c>
      <c r="N30" s="14" t="n">
        <v>2</v>
      </c>
      <c r="O30" s="14" t="inlineStr">
        <is>
          <t>No - sweep row seeded only</t>
        </is>
      </c>
      <c r="P30" s="14" t="n"/>
      <c r="Q30" s="14" t="inlineStr">
        <is>
          <t>No</t>
        </is>
      </c>
      <c r="R30" s="14" t="n"/>
      <c r="S30" s="14" t="n"/>
      <c r="T30" s="14" t="inlineStr">
        <is>
          <t>Run official-document and local-language query batch; record latest docs checked and add candidate rows where allocator-to-vehicle evidence appears.</t>
        </is>
      </c>
      <c r="U30" s="14" t="inlineStr">
        <is>
          <t>2026-06-05</t>
        </is>
      </c>
      <c r="V30" s="14" t="inlineStr">
        <is>
          <t>Has invested in domestic infrastructure (toll roads, real estate); verify PE fund commitments.</t>
        </is>
      </c>
    </row>
    <row r="31" ht="45" customHeight="1" s="26">
      <c r="A31" s="24" t="inlineStr">
        <is>
          <t>P2</t>
        </is>
      </c>
      <c r="B31" s="14" t="inlineStr">
        <is>
          <t>Seeded - official/source docs exist, verify latest local-language disclosures</t>
        </is>
      </c>
      <c r="C31" s="14" t="inlineStr">
        <is>
          <t>Nigeria</t>
        </is>
      </c>
      <c r="D31" s="14" t="inlineStr">
        <is>
          <t>NSIA</t>
        </is>
      </c>
      <c r="E31" s="14" t="inlineStr">
        <is>
          <t>SWF (3 sub-funds)</t>
        </is>
      </c>
      <c r="F31" s="14" t="n">
        <v>2900</v>
      </c>
      <c r="G31" s="14" t="n">
        <v>2023</v>
      </c>
      <c r="H31" s="14" t="inlineStr">
        <is>
          <t>English</t>
        </is>
      </c>
      <c r="I31" s="14" t="inlineStr">
        <is>
          <t>NSIA; Nigeria Sovereign Investment Authority</t>
        </is>
      </c>
      <c r="J31" s="14" t="inlineStr">
        <is>
          <t>annual report; audited financial statements; investment policy; portfolio holdings; public fund register; regulator filing</t>
        </is>
      </c>
      <c r="K31" s="14" t="inlineStr">
        <is>
          <t>PenCom; NSIA annual reports; PFA annual reports where public</t>
        </is>
      </c>
      <c r="L31" s="14" t="n">
        <v>13</v>
      </c>
      <c r="M31" s="14" t="n">
        <v>13</v>
      </c>
      <c r="N31" s="14" t="n">
        <v>3</v>
      </c>
      <c r="O31" s="14" t="inlineStr">
        <is>
          <t>No - sweep row seeded only</t>
        </is>
      </c>
      <c r="P31" s="14" t="n"/>
      <c r="Q31" s="14" t="inlineStr">
        <is>
          <t>No</t>
        </is>
      </c>
      <c r="R31" s="14" t="n"/>
      <c r="S31" s="14" t="n"/>
      <c r="T31" s="14" t="inlineStr">
        <is>
          <t>Run official-document and local-language query batch; record latest docs checked and add candidate rows where allocator-to-vehicle evidence appears.</t>
        </is>
      </c>
      <c r="U31" s="14" t="inlineStr">
        <is>
          <t>2026-06-05</t>
        </is>
      </c>
      <c r="V31" s="14" t="inlineStr">
        <is>
          <t>NIF sub-fund has co-invested in Nigerian infra, agribusiness, healthcare; LP in PE funds (e.g., Verod, African Capital Alliance).</t>
        </is>
      </c>
    </row>
    <row r="32" ht="45" customHeight="1" s="26">
      <c r="A32" s="22" t="inlineStr">
        <is>
          <t>P1</t>
        </is>
      </c>
      <c r="B32" s="14" t="inlineStr">
        <is>
          <t>Not started - official disclosure sweep required</t>
        </is>
      </c>
      <c r="C32" s="14" t="inlineStr">
        <is>
          <t>Côte d'Ivoire</t>
        </is>
      </c>
      <c r="D32" s="14" t="inlineStr">
        <is>
          <t>CGRAE</t>
        </is>
      </c>
      <c r="E32" s="14" t="inlineStr">
        <is>
          <t>Civil-service PF</t>
        </is>
      </c>
      <c r="F32" s="14" t="n">
        <v>1800</v>
      </c>
      <c r="G32" s="14" t="n">
        <v>2024</v>
      </c>
      <c r="H32" s="14" t="inlineStr">
        <is>
          <t>English</t>
        </is>
      </c>
      <c r="I32" s="14" t="inlineStr">
        <is>
          <t>CGRAE</t>
        </is>
      </c>
      <c r="J32" s="14" t="inlineStr">
        <is>
          <t>annual report; audited financial statements; investment policy; portfolio holdings; public fund register; regulator filing</t>
        </is>
      </c>
      <c r="K32" s="14" t="inlineStr">
        <is>
          <t>Allocator site; regulator site; ministry or parliamentary filings</t>
        </is>
      </c>
      <c r="L32" s="14" t="n">
        <v>0</v>
      </c>
      <c r="M32" s="14" t="n">
        <v>0</v>
      </c>
      <c r="N32" s="14" t="n">
        <v>0</v>
      </c>
      <c r="O32" s="14" t="inlineStr">
        <is>
          <t>No - sweep row seeded only</t>
        </is>
      </c>
      <c r="P32" s="14" t="n"/>
      <c r="Q32" s="14" t="inlineStr">
        <is>
          <t>No</t>
        </is>
      </c>
      <c r="R32" s="14" t="n"/>
      <c r="S32" s="14" t="n"/>
      <c r="T32" s="14" t="inlineStr">
        <is>
          <t>Run official-document and local-language query batch; record latest docs checked and add candidate rows where allocator-to-vehicle evidence appears.</t>
        </is>
      </c>
      <c r="U32" s="14" t="inlineStr">
        <is>
          <t>2026-06-05</t>
        </is>
      </c>
      <c r="V32" s="14" t="inlineStr">
        <is>
          <t>Verify if any alts allocation under recent reform.</t>
        </is>
      </c>
    </row>
    <row r="33" ht="45" customHeight="1" s="26">
      <c r="A33" s="22" t="inlineStr">
        <is>
          <t>P1</t>
        </is>
      </c>
      <c r="B33" s="14" t="inlineStr">
        <is>
          <t>Not started - official disclosure sweep required</t>
        </is>
      </c>
      <c r="C33" s="14" t="inlineStr">
        <is>
          <t>Nigeria</t>
        </is>
      </c>
      <c r="D33" s="14" t="inlineStr">
        <is>
          <t>ARM Pension Managers</t>
        </is>
      </c>
      <c r="E33" s="14" t="inlineStr">
        <is>
          <t>PFA</t>
        </is>
      </c>
      <c r="F33" s="14" t="n">
        <v>1800</v>
      </c>
      <c r="G33" s="14" t="n">
        <v>2024</v>
      </c>
      <c r="H33" s="14" t="inlineStr">
        <is>
          <t>English</t>
        </is>
      </c>
      <c r="I33" s="14" t="inlineStr">
        <is>
          <t>ARM Pension Managers</t>
        </is>
      </c>
      <c r="J33" s="14" t="inlineStr">
        <is>
          <t>annual report; audited financial statements; investment policy; portfolio holdings; public fund register; regulator filing</t>
        </is>
      </c>
      <c r="K33" s="14" t="inlineStr">
        <is>
          <t>PenCom; NSIA annual reports; PFA annual reports where public</t>
        </is>
      </c>
      <c r="L33" s="14" t="n">
        <v>1</v>
      </c>
      <c r="M33" s="14" t="n">
        <v>0</v>
      </c>
      <c r="N33" s="14" t="n">
        <v>0</v>
      </c>
      <c r="O33" s="14" t="inlineStr">
        <is>
          <t>No - sweep row seeded only</t>
        </is>
      </c>
      <c r="P33" s="14" t="n"/>
      <c r="Q33" s="14" t="inlineStr">
        <is>
          <t>No</t>
        </is>
      </c>
      <c r="R33" s="14" t="n"/>
      <c r="S33" s="14" t="n"/>
      <c r="T33" s="14" t="inlineStr">
        <is>
          <t>Run official-document and local-language query batch; record latest docs checked and add candidate rows where allocator-to-vehicle evidence appears.</t>
        </is>
      </c>
      <c r="U33" s="14" t="inlineStr">
        <is>
          <t>2026-06-05</t>
        </is>
      </c>
      <c r="V33" s="14" t="inlineStr">
        <is>
          <t>ARM affiliate is a major Nigerian PE manager (ARM-Harith); intra-group commitments are an obvious starting point.</t>
        </is>
      </c>
    </row>
    <row r="34" ht="45" customHeight="1" s="26">
      <c r="A34" s="22" t="inlineStr">
        <is>
          <t>P1</t>
        </is>
      </c>
      <c r="B34" s="14" t="inlineStr">
        <is>
          <t>Not started - official disclosure sweep required</t>
        </is>
      </c>
      <c r="C34" s="14" t="inlineStr">
        <is>
          <t>Côte d'Ivoire</t>
        </is>
      </c>
      <c r="D34" s="14" t="inlineStr">
        <is>
          <t>CNPS-CI</t>
        </is>
      </c>
      <c r="E34" s="14" t="inlineStr">
        <is>
          <t>Private-sector PF</t>
        </is>
      </c>
      <c r="F34" s="14" t="n">
        <v>1500</v>
      </c>
      <c r="G34" s="14" t="n">
        <v>2024</v>
      </c>
      <c r="H34" s="14" t="inlineStr">
        <is>
          <t>English</t>
        </is>
      </c>
      <c r="I34" s="14" t="inlineStr">
        <is>
          <t>CNPS-CI</t>
        </is>
      </c>
      <c r="J34" s="14" t="inlineStr">
        <is>
          <t>annual report; audited financial statements; investment policy; portfolio holdings; public fund register; regulator filing</t>
        </is>
      </c>
      <c r="K34" s="14" t="inlineStr">
        <is>
          <t>Allocator site; regulator site; ministry or parliamentary filings</t>
        </is>
      </c>
      <c r="L34" s="14" t="n">
        <v>0</v>
      </c>
      <c r="M34" s="14" t="n">
        <v>0</v>
      </c>
      <c r="N34" s="14" t="n">
        <v>0</v>
      </c>
      <c r="O34" s="14" t="inlineStr">
        <is>
          <t>No - sweep row seeded only</t>
        </is>
      </c>
      <c r="P34" s="14" t="n"/>
      <c r="Q34" s="14" t="inlineStr">
        <is>
          <t>No</t>
        </is>
      </c>
      <c r="R34" s="14" t="n"/>
      <c r="S34" s="14" t="n"/>
      <c r="T34" s="14" t="inlineStr">
        <is>
          <t>Run official-document and local-language query batch; record latest docs checked and add candidate rows where allocator-to-vehicle evidence appears.</t>
        </is>
      </c>
      <c r="U34" s="14" t="inlineStr">
        <is>
          <t>2026-06-05</t>
        </is>
      </c>
      <c r="V34" s="14" t="inlineStr">
        <is>
          <t>Verify alts exposure.</t>
        </is>
      </c>
    </row>
    <row r="35" ht="45" customHeight="1" s="26">
      <c r="A35" s="22" t="inlineStr">
        <is>
          <t>P1</t>
        </is>
      </c>
      <c r="B35" s="14" t="inlineStr">
        <is>
          <t>Not started - official disclosure sweep required</t>
        </is>
      </c>
      <c r="C35" s="14" t="inlineStr">
        <is>
          <t>Botswana</t>
        </is>
      </c>
      <c r="D35" s="14" t="inlineStr">
        <is>
          <t>Debswana Pension Fund</t>
        </is>
      </c>
      <c r="E35" s="14" t="inlineStr">
        <is>
          <t>Corporate PF (mining JV)</t>
        </is>
      </c>
      <c r="F35" s="14" t="n">
        <v>1500</v>
      </c>
      <c r="G35" s="14" t="n">
        <v>2024</v>
      </c>
      <c r="H35" s="14" t="inlineStr">
        <is>
          <t>English</t>
        </is>
      </c>
      <c r="I35" s="14" t="inlineStr">
        <is>
          <t>Debswana Pension Fund</t>
        </is>
      </c>
      <c r="J35" s="14" t="inlineStr">
        <is>
          <t>annual report; audited financial statements; investment policy; portfolio holdings; public fund register; regulator filing</t>
        </is>
      </c>
      <c r="K35" s="14" t="inlineStr">
        <is>
          <t>Allocator site; regulator site; ministry or parliamentary filings</t>
        </is>
      </c>
      <c r="L35" s="14" t="n">
        <v>0</v>
      </c>
      <c r="M35" s="14" t="n">
        <v>0</v>
      </c>
      <c r="N35" s="14" t="n">
        <v>0</v>
      </c>
      <c r="O35" s="14" t="inlineStr">
        <is>
          <t>No - sweep row seeded only</t>
        </is>
      </c>
      <c r="P35" s="14" t="n"/>
      <c r="Q35" s="14" t="inlineStr">
        <is>
          <t>No</t>
        </is>
      </c>
      <c r="R35" s="14" t="n"/>
      <c r="S35" s="14" t="n"/>
      <c r="T35" s="14" t="inlineStr">
        <is>
          <t>Run official-document and local-language query batch; record latest docs checked and add candidate rows where allocator-to-vehicle evidence appears.</t>
        </is>
      </c>
      <c r="U35" s="14" t="inlineStr">
        <is>
          <t>2026-06-05</t>
        </is>
      </c>
      <c r="V35" s="14" t="inlineStr">
        <is>
          <t>Long-running alts programme; LP in African PE funds.</t>
        </is>
      </c>
    </row>
    <row r="36" ht="45" customHeight="1" s="26">
      <c r="A36" s="22" t="inlineStr">
        <is>
          <t>P1</t>
        </is>
      </c>
      <c r="B36" s="14" t="inlineStr">
        <is>
          <t>Not started - official disclosure sweep required</t>
        </is>
      </c>
      <c r="C36" s="14" t="inlineStr">
        <is>
          <t>Tunisia</t>
        </is>
      </c>
      <c r="D36" s="14" t="inlineStr">
        <is>
          <t>CNRPS</t>
        </is>
      </c>
      <c r="E36" s="14" t="inlineStr">
        <is>
          <t>Civil-service PF</t>
        </is>
      </c>
      <c r="F36" s="14" t="n">
        <v>2200</v>
      </c>
      <c r="G36" s="14" t="n">
        <v>2023</v>
      </c>
      <c r="H36" s="14" t="inlineStr">
        <is>
          <t>English</t>
        </is>
      </c>
      <c r="I36" s="14" t="inlineStr">
        <is>
          <t>CNRPS</t>
        </is>
      </c>
      <c r="J36" s="14" t="inlineStr">
        <is>
          <t>annual report; audited financial statements; investment policy; portfolio holdings; public fund register; regulator filing</t>
        </is>
      </c>
      <c r="K36" s="14" t="inlineStr">
        <is>
          <t>Allocator site; regulator site; ministry or parliamentary filings</t>
        </is>
      </c>
      <c r="L36" s="14" t="n">
        <v>0</v>
      </c>
      <c r="M36" s="14" t="n">
        <v>0</v>
      </c>
      <c r="N36" s="14" t="n">
        <v>0</v>
      </c>
      <c r="O36" s="14" t="inlineStr">
        <is>
          <t>No - sweep row seeded only</t>
        </is>
      </c>
      <c r="P36" s="14" t="n"/>
      <c r="Q36" s="14" t="inlineStr">
        <is>
          <t>No</t>
        </is>
      </c>
      <c r="R36" s="14" t="n"/>
      <c r="S36" s="14" t="n"/>
      <c r="T36" s="14" t="inlineStr">
        <is>
          <t>Run official-document and local-language query batch; record latest docs checked and add candidate rows where allocator-to-vehicle evidence appears.</t>
        </is>
      </c>
      <c r="U36" s="14" t="inlineStr">
        <is>
          <t>2026-06-05</t>
        </is>
      </c>
      <c r="V36" s="14" t="inlineStr">
        <is>
          <t>Limited disclosure; verify.</t>
        </is>
      </c>
    </row>
    <row r="37" ht="45" customHeight="1" s="26">
      <c r="A37" s="22" t="inlineStr">
        <is>
          <t>P1</t>
        </is>
      </c>
      <c r="B37" s="14" t="inlineStr">
        <is>
          <t>Not started - official disclosure sweep required</t>
        </is>
      </c>
      <c r="C37" s="14" t="inlineStr">
        <is>
          <t>Egypt</t>
        </is>
      </c>
      <c r="D37" s="14" t="inlineStr">
        <is>
          <t>TSFE see above</t>
        </is>
      </c>
      <c r="E37" s="14" t="inlineStr">
        <is>
          <t>—</t>
        </is>
      </c>
      <c r="F37" s="14" t="n">
        <v>0</v>
      </c>
      <c r="G37" s="14" t="inlineStr">
        <is>
          <t>—</t>
        </is>
      </c>
      <c r="H37" s="14" t="inlineStr">
        <is>
          <t>Arabic; English</t>
        </is>
      </c>
      <c r="I37" s="14" t="inlineStr">
        <is>
          <t>TSFE see above</t>
        </is>
      </c>
      <c r="J37" s="14" t="inlineStr">
        <is>
          <t>annual report; audited financial statements; investment policy; portfolio holdings; public fund register; regulator filing</t>
        </is>
      </c>
      <c r="K37" s="14" t="inlineStr">
        <is>
          <t>NOSI/NIB official publications; Ministry of Social Solidarity; Arabic annual reports</t>
        </is>
      </c>
      <c r="L37" s="14" t="n">
        <v>0</v>
      </c>
      <c r="M37" s="14" t="n">
        <v>0</v>
      </c>
      <c r="N37" s="14" t="n">
        <v>0</v>
      </c>
      <c r="O37" s="14" t="inlineStr">
        <is>
          <t>No - sweep row seeded only</t>
        </is>
      </c>
      <c r="P37" s="14" t="n"/>
      <c r="Q37" s="14" t="inlineStr">
        <is>
          <t>No</t>
        </is>
      </c>
      <c r="R37" s="14" t="n"/>
      <c r="S37" s="14" t="n"/>
      <c r="T37" s="14" t="inlineStr">
        <is>
          <t>Run official-document and local-language query batch; record latest docs checked and add candidate rows where allocator-to-vehicle evidence appears.</t>
        </is>
      </c>
      <c r="U37" s="14" t="inlineStr">
        <is>
          <t>2026-06-05</t>
        </is>
      </c>
      <c r="V37" s="14" t="inlineStr">
        <is>
          <t>—</t>
        </is>
      </c>
    </row>
    <row r="38" ht="45" customHeight="1" s="26">
      <c r="A38" s="24" t="inlineStr">
        <is>
          <t>P2</t>
        </is>
      </c>
      <c r="B38" s="14" t="inlineStr">
        <is>
          <t>Seeded - official/source docs exist, verify latest local-language disclosures</t>
        </is>
      </c>
      <c r="C38" s="14" t="inlineStr">
        <is>
          <t>Rwanda</t>
        </is>
      </c>
      <c r="D38" s="14" t="inlineStr">
        <is>
          <t>RSSB</t>
        </is>
      </c>
      <c r="E38" s="14" t="inlineStr">
        <is>
          <t>Public PF</t>
        </is>
      </c>
      <c r="F38" s="14" t="n">
        <v>1500</v>
      </c>
      <c r="G38" s="14" t="n">
        <v>2024</v>
      </c>
      <c r="H38" s="14" t="inlineStr">
        <is>
          <t>English; French; Kinyarwanda</t>
        </is>
      </c>
      <c r="I38" s="14" t="inlineStr">
        <is>
          <t>RSSB; Rwanda Social Security Board</t>
        </is>
      </c>
      <c r="J38" s="14" t="inlineStr">
        <is>
          <t>annual report; audited financial statements; investment policy; portfolio holdings; public fund register; regulator filing</t>
        </is>
      </c>
      <c r="K38" s="14" t="inlineStr">
        <is>
          <t>RSSB annual reports; CMA Rwanda; KIFC/Rwanda Finance disclosures</t>
        </is>
      </c>
      <c r="L38" s="14" t="n">
        <v>3</v>
      </c>
      <c r="M38" s="14" t="n">
        <v>7</v>
      </c>
      <c r="N38" s="14" t="n">
        <v>1</v>
      </c>
      <c r="O38" s="14" t="inlineStr">
        <is>
          <t>No - sweep row seeded only</t>
        </is>
      </c>
      <c r="P38" s="14" t="n"/>
      <c r="Q38" s="14" t="inlineStr">
        <is>
          <t>No</t>
        </is>
      </c>
      <c r="R38" s="14" t="n"/>
      <c r="S38" s="14" t="n"/>
      <c r="T38" s="14" t="inlineStr">
        <is>
          <t>Run official-document and local-language query batch; record latest docs checked and add candidate rows where allocator-to-vehicle evidence appears.</t>
        </is>
      </c>
      <c r="U38" s="14" t="inlineStr">
        <is>
          <t>2026-06-05</t>
        </is>
      </c>
      <c r="V38" s="14" t="inlineStr">
        <is>
          <t>Active in Rwandan strategic investments; has equity stakes in BK Group, Rwandair, etc.</t>
        </is>
      </c>
    </row>
    <row r="39" ht="45" customHeight="1" s="26">
      <c r="A39" s="22" t="inlineStr">
        <is>
          <t>P1</t>
        </is>
      </c>
      <c r="B39" s="14" t="inlineStr">
        <is>
          <t>Not started - official disclosure sweep required</t>
        </is>
      </c>
      <c r="C39" s="14" t="inlineStr">
        <is>
          <t>Tunisia</t>
        </is>
      </c>
      <c r="D39" s="14" t="inlineStr">
        <is>
          <t>CNSS Tunisia</t>
        </is>
      </c>
      <c r="E39" s="14" t="inlineStr">
        <is>
          <t>Public PF</t>
        </is>
      </c>
      <c r="F39" s="14" t="n">
        <v>1500</v>
      </c>
      <c r="G39" s="14" t="n">
        <v>2023</v>
      </c>
      <c r="H39" s="14" t="inlineStr">
        <is>
          <t>English</t>
        </is>
      </c>
      <c r="I39" s="14" t="inlineStr">
        <is>
          <t>CNSS Tunisia</t>
        </is>
      </c>
      <c r="J39" s="14" t="inlineStr">
        <is>
          <t>annual report; audited financial statements; investment policy; portfolio holdings; public fund register; regulator filing</t>
        </is>
      </c>
      <c r="K39" s="14" t="inlineStr">
        <is>
          <t>Allocator site; regulator site; ministry or parliamentary filings</t>
        </is>
      </c>
      <c r="L39" s="14" t="n">
        <v>0</v>
      </c>
      <c r="M39" s="14" t="n">
        <v>0</v>
      </c>
      <c r="N39" s="14" t="n">
        <v>0</v>
      </c>
      <c r="O39" s="14" t="inlineStr">
        <is>
          <t>No - sweep row seeded only</t>
        </is>
      </c>
      <c r="P39" s="14" t="n"/>
      <c r="Q39" s="14" t="inlineStr">
        <is>
          <t>No</t>
        </is>
      </c>
      <c r="R39" s="14" t="n"/>
      <c r="S39" s="14" t="n"/>
      <c r="T39" s="14" t="inlineStr">
        <is>
          <t>Run official-document and local-language query batch; record latest docs checked and add candidate rows where allocator-to-vehicle evidence appears.</t>
        </is>
      </c>
      <c r="U39" s="14" t="inlineStr">
        <is>
          <t>2026-06-05</t>
        </is>
      </c>
      <c r="V39" s="14" t="inlineStr">
        <is>
          <t>Limited disclosure.</t>
        </is>
      </c>
    </row>
    <row r="40" ht="45" customHeight="1" s="26">
      <c r="A40" s="22" t="inlineStr">
        <is>
          <t>P1</t>
        </is>
      </c>
      <c r="B40" s="14" t="inlineStr">
        <is>
          <t>Not started - official disclosure sweep required</t>
        </is>
      </c>
      <c r="C40" s="14" t="inlineStr">
        <is>
          <t>Algeria</t>
        </is>
      </c>
      <c r="D40" s="14" t="inlineStr">
        <is>
          <t>CNAS Algeria</t>
        </is>
      </c>
      <c r="E40" s="14" t="inlineStr">
        <is>
          <t>Public PF</t>
        </is>
      </c>
      <c r="F40" s="14" t="n">
        <v>1500</v>
      </c>
      <c r="G40" s="14" t="n">
        <v>2023</v>
      </c>
      <c r="H40" s="14" t="inlineStr">
        <is>
          <t>French; Arabic</t>
        </is>
      </c>
      <c r="I40" s="14" t="inlineStr">
        <is>
          <t>CNAS Algeria</t>
        </is>
      </c>
      <c r="J40" s="14" t="inlineStr">
        <is>
          <t>annual report; audited financial statements; investment policy; portfolio holdings; public fund register; regulator filing</t>
        </is>
      </c>
      <c r="K40" s="14" t="inlineStr">
        <is>
          <t>CNR/CASNOS/ministry disclosures; French/Arabic public reports</t>
        </is>
      </c>
      <c r="L40" s="14" t="n">
        <v>0</v>
      </c>
      <c r="M40" s="14" t="n">
        <v>0</v>
      </c>
      <c r="N40" s="14" t="n">
        <v>0</v>
      </c>
      <c r="O40" s="14" t="inlineStr">
        <is>
          <t>No - sweep row seeded only</t>
        </is>
      </c>
      <c r="P40" s="14" t="n"/>
      <c r="Q40" s="14" t="inlineStr">
        <is>
          <t>No</t>
        </is>
      </c>
      <c r="R40" s="14" t="n"/>
      <c r="S40" s="14" t="n"/>
      <c r="T40" s="14" t="inlineStr">
        <is>
          <t>Run official-document and local-language query batch; record latest docs checked and add candidate rows where allocator-to-vehicle evidence appears.</t>
        </is>
      </c>
      <c r="U40" s="14" t="inlineStr">
        <is>
          <t>2026-06-05</t>
        </is>
      </c>
      <c r="V40" s="14" t="inlineStr">
        <is>
          <t>Limited disclosure.</t>
        </is>
      </c>
    </row>
    <row r="41" ht="45" customHeight="1" s="26">
      <c r="A41" s="22" t="inlineStr">
        <is>
          <t>P1</t>
        </is>
      </c>
      <c r="B41" s="14" t="inlineStr">
        <is>
          <t>Not started - official disclosure sweep required</t>
        </is>
      </c>
      <c r="C41" s="14" t="inlineStr">
        <is>
          <t>Ethiopia</t>
        </is>
      </c>
      <c r="D41" s="14" t="inlineStr">
        <is>
          <t>POSSA</t>
        </is>
      </c>
      <c r="E41" s="14" t="inlineStr">
        <is>
          <t>Private-sector PF</t>
        </is>
      </c>
      <c r="F41" s="14" t="n">
        <v>1500</v>
      </c>
      <c r="G41" s="14" t="n">
        <v>2024</v>
      </c>
      <c r="H41" s="14" t="inlineStr">
        <is>
          <t>Amharic; English</t>
        </is>
      </c>
      <c r="I41" s="14" t="inlineStr">
        <is>
          <t>POSSA</t>
        </is>
      </c>
      <c r="J41" s="14" t="inlineStr">
        <is>
          <t>annual report; audited financial statements; investment policy; portfolio holdings; public fund register; regulator filing</t>
        </is>
      </c>
      <c r="K41" s="14" t="inlineStr">
        <is>
          <t>POESSA/PSSSA materials; Ministry of Finance; NBE/ESE reform documents</t>
        </is>
      </c>
      <c r="L41" s="14" t="n">
        <v>0</v>
      </c>
      <c r="M41" s="14" t="n">
        <v>0</v>
      </c>
      <c r="N41" s="14" t="n">
        <v>0</v>
      </c>
      <c r="O41" s="14" t="inlineStr">
        <is>
          <t>No - sweep row seeded only</t>
        </is>
      </c>
      <c r="P41" s="14" t="n"/>
      <c r="Q41" s="14" t="inlineStr">
        <is>
          <t>No</t>
        </is>
      </c>
      <c r="R41" s="14" t="n"/>
      <c r="S41" s="14" t="n"/>
      <c r="T41" s="14" t="inlineStr">
        <is>
          <t>Run official-document and local-language query batch; record latest docs checked and add candidate rows where allocator-to-vehicle evidence appears.</t>
        </is>
      </c>
      <c r="U41" s="14" t="inlineStr">
        <is>
          <t>2026-06-05</t>
        </is>
      </c>
      <c r="V41" s="14" t="inlineStr">
        <is>
          <t>Verify any non-government allocation.</t>
        </is>
      </c>
    </row>
    <row r="42" ht="45" customHeight="1" s="26">
      <c r="A42" s="22" t="inlineStr">
        <is>
          <t>P1</t>
        </is>
      </c>
      <c r="B42" s="14" t="inlineStr">
        <is>
          <t>Not started - official disclosure sweep required</t>
        </is>
      </c>
      <c r="C42" s="14" t="inlineStr">
        <is>
          <t>Senegal</t>
        </is>
      </c>
      <c r="D42" s="14" t="inlineStr">
        <is>
          <t>FONSIS</t>
        </is>
      </c>
      <c r="E42" s="14" t="inlineStr">
        <is>
          <t>SWF (strategic)</t>
        </is>
      </c>
      <c r="F42" s="14" t="n">
        <v>1000</v>
      </c>
      <c r="G42" s="14" t="n">
        <v>2023</v>
      </c>
      <c r="H42" s="14" t="inlineStr">
        <is>
          <t>French</t>
        </is>
      </c>
      <c r="I42" s="14" t="inlineStr">
        <is>
          <t>FONSIS</t>
        </is>
      </c>
      <c r="J42" s="14" t="inlineStr">
        <is>
          <t>annual report; audited financial statements; investment policy; portfolio holdings; public fund register; regulator filing</t>
        </is>
      </c>
      <c r="K42" s="14" t="inlineStr">
        <is>
          <t>CIPRES; FONSIS annual reports; CDC Senegal disclosures</t>
        </is>
      </c>
      <c r="L42" s="14" t="n">
        <v>3</v>
      </c>
      <c r="M42" s="14" t="n">
        <v>2</v>
      </c>
      <c r="N42" s="14" t="n">
        <v>0</v>
      </c>
      <c r="O42" s="14" t="inlineStr">
        <is>
          <t>No - sweep row seeded only</t>
        </is>
      </c>
      <c r="P42" s="14" t="n"/>
      <c r="Q42" s="14" t="inlineStr">
        <is>
          <t>No</t>
        </is>
      </c>
      <c r="R42" s="14" t="n"/>
      <c r="S42" s="14" t="n"/>
      <c r="T42" s="14" t="inlineStr">
        <is>
          <t>Run official-document and local-language query batch; record latest docs checked and add candidate rows where allocator-to-vehicle evidence appears.</t>
        </is>
      </c>
      <c r="U42" s="14" t="inlineStr">
        <is>
          <t>2026-06-05</t>
        </is>
      </c>
      <c r="V42" s="14" t="inlineStr">
        <is>
          <t>Direct equity in hotels, agribusiness, infra; co-invests with DFIs and African PE funds.</t>
        </is>
      </c>
    </row>
    <row r="43" ht="45" customHeight="1" s="26">
      <c r="A43" s="22" t="inlineStr">
        <is>
          <t>P1</t>
        </is>
      </c>
      <c r="B43" s="14" t="inlineStr">
        <is>
          <t>Not started - official disclosure sweep required</t>
        </is>
      </c>
      <c r="C43" s="14" t="inlineStr">
        <is>
          <t>Gabon</t>
        </is>
      </c>
      <c r="D43" s="14" t="inlineStr">
        <is>
          <t>FGIS</t>
        </is>
      </c>
      <c r="E43" s="14" t="inlineStr">
        <is>
          <t>SWF (strategic)</t>
        </is>
      </c>
      <c r="F43" s="14" t="n">
        <v>1500</v>
      </c>
      <c r="G43" s="14" t="n">
        <v>2023</v>
      </c>
      <c r="H43" s="14" t="inlineStr">
        <is>
          <t>English</t>
        </is>
      </c>
      <c r="I43" s="14" t="inlineStr">
        <is>
          <t>FGIS</t>
        </is>
      </c>
      <c r="J43" s="14" t="inlineStr">
        <is>
          <t>annual report; audited financial statements; investment policy; portfolio holdings; public fund register; regulator filing</t>
        </is>
      </c>
      <c r="K43" s="14" t="inlineStr">
        <is>
          <t>Allocator site; regulator site; ministry or parliamentary filings</t>
        </is>
      </c>
      <c r="L43" s="14" t="n">
        <v>2</v>
      </c>
      <c r="M43" s="14" t="n">
        <v>0</v>
      </c>
      <c r="N43" s="14" t="n">
        <v>0</v>
      </c>
      <c r="O43" s="14" t="inlineStr">
        <is>
          <t>No - sweep row seeded only</t>
        </is>
      </c>
      <c r="P43" s="14" t="n"/>
      <c r="Q43" s="14" t="inlineStr">
        <is>
          <t>No</t>
        </is>
      </c>
      <c r="R43" s="14" t="n"/>
      <c r="S43" s="14" t="n"/>
      <c r="T43" s="14" t="inlineStr">
        <is>
          <t>Run official-document and local-language query batch; record latest docs checked and add candidate rows where allocator-to-vehicle evidence appears.</t>
        </is>
      </c>
      <c r="U43" s="14" t="inlineStr">
        <is>
          <t>2026-06-05</t>
        </is>
      </c>
      <c r="V43" s="14" t="inlineStr">
        <is>
          <t>Stakes in Gabonese financial sector and Africa-focused infra platforms.</t>
        </is>
      </c>
    </row>
    <row r="44" ht="45" customHeight="1" s="26">
      <c r="A44" s="24" t="inlineStr">
        <is>
          <t>P2</t>
        </is>
      </c>
      <c r="B44" s="14" t="inlineStr">
        <is>
          <t>Seeded - official/source docs exist, verify latest local-language disclosures</t>
        </is>
      </c>
      <c r="C44" s="14" t="inlineStr">
        <is>
          <t>Djibouti</t>
        </is>
      </c>
      <c r="D44" s="14" t="inlineStr">
        <is>
          <t>FSD</t>
        </is>
      </c>
      <c r="E44" s="14" t="inlineStr">
        <is>
          <t>SWF (strategic)</t>
        </is>
      </c>
      <c r="F44" s="14" t="n">
        <v>1500</v>
      </c>
      <c r="G44" s="14" t="n">
        <v>2024</v>
      </c>
      <c r="H44" s="14" t="inlineStr">
        <is>
          <t>English</t>
        </is>
      </c>
      <c r="I44" s="14" t="inlineStr">
        <is>
          <t>FSD</t>
        </is>
      </c>
      <c r="J44" s="14" t="inlineStr">
        <is>
          <t>annual report; audited financial statements; investment policy; portfolio holdings; public fund register; regulator filing</t>
        </is>
      </c>
      <c r="K44" s="14" t="inlineStr">
        <is>
          <t>Allocator site; regulator site; ministry or parliamentary filings</t>
        </is>
      </c>
      <c r="L44" s="14" t="n">
        <v>6</v>
      </c>
      <c r="M44" s="14" t="n">
        <v>12</v>
      </c>
      <c r="N44" s="14" t="n">
        <v>3</v>
      </c>
      <c r="O44" s="14" t="inlineStr">
        <is>
          <t>No - sweep row seeded only</t>
        </is>
      </c>
      <c r="P44" s="14" t="n"/>
      <c r="Q44" s="14" t="inlineStr">
        <is>
          <t>No</t>
        </is>
      </c>
      <c r="R44" s="14" t="n"/>
      <c r="S44" s="14" t="n"/>
      <c r="T44" s="14" t="inlineStr">
        <is>
          <t>Run official-document and local-language query batch; record latest docs checked and add candidate rows where allocator-to-vehicle evidence appears.</t>
        </is>
      </c>
      <c r="U44" s="14" t="inlineStr">
        <is>
          <t>2026-06-05</t>
        </is>
      </c>
      <c r="V44" s="14" t="inlineStr">
        <is>
          <t>Mandate includes domestic strategic investments and partnerships.</t>
        </is>
      </c>
    </row>
    <row r="45" ht="45" customHeight="1" s="26">
      <c r="A45" s="22" t="inlineStr">
        <is>
          <t>P1</t>
        </is>
      </c>
      <c r="B45" s="14" t="inlineStr">
        <is>
          <t>Not started - official disclosure sweep required</t>
        </is>
      </c>
      <c r="C45" s="14" t="inlineStr">
        <is>
          <t>Morocco</t>
        </is>
      </c>
      <c r="D45" s="14" t="inlineStr">
        <is>
          <t>Ithmar Capital</t>
        </is>
      </c>
      <c r="E45" s="14" t="inlineStr">
        <is>
          <t>SWF (sector-strategic)</t>
        </is>
      </c>
      <c r="F45" s="14" t="n">
        <v>1000</v>
      </c>
      <c r="G45" s="14" t="n">
        <v>2023</v>
      </c>
      <c r="H45" s="14" t="inlineStr">
        <is>
          <t>French; Arabic</t>
        </is>
      </c>
      <c r="I45" s="14" t="inlineStr">
        <is>
          <t>Ithmar Capital</t>
        </is>
      </c>
      <c r="J45" s="14" t="inlineStr">
        <is>
          <t>annual report; audited financial statements; investment policy; portfolio holdings; public fund register; regulator filing</t>
        </is>
      </c>
      <c r="K45" s="14" t="inlineStr">
        <is>
          <t>ACAPS; AMMC fund register; CDG/CMR/RCAR annual reports</t>
        </is>
      </c>
      <c r="L45" s="14" t="n">
        <v>1</v>
      </c>
      <c r="M45" s="14" t="n">
        <v>1</v>
      </c>
      <c r="N45" s="14" t="n">
        <v>0</v>
      </c>
      <c r="O45" s="14" t="inlineStr">
        <is>
          <t>No - sweep row seeded only</t>
        </is>
      </c>
      <c r="P45" s="14" t="n"/>
      <c r="Q45" s="14" t="inlineStr">
        <is>
          <t>No</t>
        </is>
      </c>
      <c r="R45" s="14" t="n"/>
      <c r="S45" s="14" t="n"/>
      <c r="T45" s="14" t="inlineStr">
        <is>
          <t>Run official-document and local-language query batch; record latest docs checked and add candidate rows where allocator-to-vehicle evidence appears.</t>
        </is>
      </c>
      <c r="U45" s="14" t="inlineStr">
        <is>
          <t>2026-06-05</t>
        </is>
      </c>
      <c r="V45" s="14" t="inlineStr">
        <is>
          <t>Co-investor with Green Africa Investment, AfDB, Morocco's Mohammed VI Fund.</t>
        </is>
      </c>
    </row>
    <row r="46" ht="45" customHeight="1" s="26">
      <c r="A46" s="22" t="inlineStr">
        <is>
          <t>P1</t>
        </is>
      </c>
      <c r="B46" s="14" t="inlineStr">
        <is>
          <t>Not started - official disclosure sweep required</t>
        </is>
      </c>
      <c r="C46" s="14" t="inlineStr">
        <is>
          <t>Nigeria</t>
        </is>
      </c>
      <c r="D46" s="14" t="inlineStr">
        <is>
          <t>Premium Pension</t>
        </is>
      </c>
      <c r="E46" s="14" t="inlineStr">
        <is>
          <t>PFA</t>
        </is>
      </c>
      <c r="F46" s="14" t="n">
        <v>1500</v>
      </c>
      <c r="G46" s="14" t="n">
        <v>2024</v>
      </c>
      <c r="H46" s="14" t="inlineStr">
        <is>
          <t>English</t>
        </is>
      </c>
      <c r="I46" s="14" t="inlineStr">
        <is>
          <t>Premium Pension</t>
        </is>
      </c>
      <c r="J46" s="14" t="inlineStr">
        <is>
          <t>annual report; audited financial statements; investment policy; portfolio holdings; public fund register; regulator filing</t>
        </is>
      </c>
      <c r="K46" s="14" t="inlineStr">
        <is>
          <t>PenCom; NSIA annual reports; PFA annual reports where public</t>
        </is>
      </c>
      <c r="L46" s="14" t="n">
        <v>0</v>
      </c>
      <c r="M46" s="14" t="n">
        <v>0</v>
      </c>
      <c r="N46" s="14" t="n">
        <v>0</v>
      </c>
      <c r="O46" s="14" t="inlineStr">
        <is>
          <t>No - sweep row seeded only</t>
        </is>
      </c>
      <c r="P46" s="14" t="n"/>
      <c r="Q46" s="14" t="inlineStr">
        <is>
          <t>No</t>
        </is>
      </c>
      <c r="R46" s="14" t="n"/>
      <c r="S46" s="14" t="n"/>
      <c r="T46" s="14" t="inlineStr">
        <is>
          <t>Run official-document and local-language query batch; record latest docs checked and add candidate rows where allocator-to-vehicle evidence appears.</t>
        </is>
      </c>
      <c r="U46" s="14" t="inlineStr">
        <is>
          <t>2026-06-05</t>
        </is>
      </c>
      <c r="V46" s="14" t="inlineStr">
        <is>
          <t>PenCom Multi-Fund Structure permits alts; verify commitments.</t>
        </is>
      </c>
    </row>
    <row r="47" ht="45" customHeight="1" s="26">
      <c r="A47" s="22" t="inlineStr">
        <is>
          <t>P1</t>
        </is>
      </c>
      <c r="B47" s="14" t="inlineStr">
        <is>
          <t>Not started - official disclosure sweep required</t>
        </is>
      </c>
      <c r="C47" s="14" t="inlineStr">
        <is>
          <t>Nigeria</t>
        </is>
      </c>
      <c r="D47" s="14" t="inlineStr">
        <is>
          <t>Sigma / Access Pensions</t>
        </is>
      </c>
      <c r="E47" s="14" t="inlineStr">
        <is>
          <t>PFA</t>
        </is>
      </c>
      <c r="F47" s="14" t="n">
        <v>1100</v>
      </c>
      <c r="G47" s="14" t="n">
        <v>2024</v>
      </c>
      <c r="H47" s="14" t="inlineStr">
        <is>
          <t>English</t>
        </is>
      </c>
      <c r="I47" s="14" t="inlineStr">
        <is>
          <t>Sigma / Access Pensions</t>
        </is>
      </c>
      <c r="J47" s="14" t="inlineStr">
        <is>
          <t>annual report; audited financial statements; investment policy; portfolio holdings; public fund register; regulator filing</t>
        </is>
      </c>
      <c r="K47" s="14" t="inlineStr">
        <is>
          <t>PenCom; NSIA annual reports; PFA annual reports where public</t>
        </is>
      </c>
      <c r="L47" s="14" t="n">
        <v>0</v>
      </c>
      <c r="M47" s="14" t="n">
        <v>0</v>
      </c>
      <c r="N47" s="14" t="n">
        <v>0</v>
      </c>
      <c r="O47" s="14" t="inlineStr">
        <is>
          <t>No - sweep row seeded only</t>
        </is>
      </c>
      <c r="P47" s="14" t="n"/>
      <c r="Q47" s="14" t="inlineStr">
        <is>
          <t>No</t>
        </is>
      </c>
      <c r="R47" s="14" t="n"/>
      <c r="S47" s="14" t="n"/>
      <c r="T47" s="14" t="inlineStr">
        <is>
          <t>Run official-document and local-language query batch; record latest docs checked and add candidate rows where allocator-to-vehicle evidence appears.</t>
        </is>
      </c>
      <c r="U47" s="14" t="inlineStr">
        <is>
          <t>2026-06-05</t>
        </is>
      </c>
      <c r="V47" s="14" t="inlineStr">
        <is>
          <t>Access Holdings ownership; verify intra-group alts.</t>
        </is>
      </c>
    </row>
    <row r="48" ht="45" customHeight="1" s="26">
      <c r="A48" s="22" t="inlineStr">
        <is>
          <t>P1</t>
        </is>
      </c>
      <c r="B48" s="14" t="inlineStr">
        <is>
          <t>Not started - official disclosure sweep required</t>
        </is>
      </c>
      <c r="C48" s="14" t="inlineStr">
        <is>
          <t>Nigeria</t>
        </is>
      </c>
      <c r="D48" s="14" t="inlineStr">
        <is>
          <t>Tangerine APT Pensions</t>
        </is>
      </c>
      <c r="E48" s="14" t="inlineStr">
        <is>
          <t>PFA</t>
        </is>
      </c>
      <c r="F48" s="14" t="n">
        <v>1200</v>
      </c>
      <c r="G48" s="14" t="n">
        <v>2024</v>
      </c>
      <c r="H48" s="14" t="inlineStr">
        <is>
          <t>English</t>
        </is>
      </c>
      <c r="I48" s="14" t="inlineStr">
        <is>
          <t>Tangerine APT Pensions</t>
        </is>
      </c>
      <c r="J48" s="14" t="inlineStr">
        <is>
          <t>annual report; audited financial statements; investment policy; portfolio holdings; public fund register; regulator filing</t>
        </is>
      </c>
      <c r="K48" s="14" t="inlineStr">
        <is>
          <t>PenCom; NSIA annual reports; PFA annual reports where public</t>
        </is>
      </c>
      <c r="L48" s="14" t="n">
        <v>0</v>
      </c>
      <c r="M48" s="14" t="n">
        <v>0</v>
      </c>
      <c r="N48" s="14" t="n">
        <v>0</v>
      </c>
      <c r="O48" s="14" t="inlineStr">
        <is>
          <t>No - sweep row seeded only</t>
        </is>
      </c>
      <c r="P48" s="14" t="n"/>
      <c r="Q48" s="14" t="inlineStr">
        <is>
          <t>No</t>
        </is>
      </c>
      <c r="R48" s="14" t="n"/>
      <c r="S48" s="14" t="n"/>
      <c r="T48" s="14" t="inlineStr">
        <is>
          <t>Run official-document and local-language query batch; record latest docs checked and add candidate rows where allocator-to-vehicle evidence appears.</t>
        </is>
      </c>
      <c r="U48" s="14" t="inlineStr">
        <is>
          <t>2026-06-05</t>
        </is>
      </c>
      <c r="V48" s="14" t="inlineStr">
        <is>
          <t>Post-merger entity; verify commitments.</t>
        </is>
      </c>
    </row>
    <row r="49" ht="45" customHeight="1" s="26">
      <c r="A49" s="22" t="inlineStr">
        <is>
          <t>P1</t>
        </is>
      </c>
      <c r="B49" s="14" t="inlineStr">
        <is>
          <t>Not started - official disclosure sweep required</t>
        </is>
      </c>
      <c r="C49" s="14" t="inlineStr">
        <is>
          <t>Morocco</t>
        </is>
      </c>
      <c r="D49" s="14" t="inlineStr">
        <is>
          <t>Mohammed VI Fund for Investment</t>
        </is>
      </c>
      <c r="E49" s="14" t="inlineStr">
        <is>
          <t>SWF (strategic)</t>
        </is>
      </c>
      <c r="F49" s="14" t="n">
        <v>4500</v>
      </c>
      <c r="G49" s="14" t="n">
        <v>2024</v>
      </c>
      <c r="H49" s="14" t="inlineStr">
        <is>
          <t>French; Arabic</t>
        </is>
      </c>
      <c r="I49" s="14" t="inlineStr">
        <is>
          <t>Mohammed VI Fund for Investment</t>
        </is>
      </c>
      <c r="J49" s="14" t="inlineStr">
        <is>
          <t>annual report; audited financial statements; investment policy; portfolio holdings; public fund register; regulator filing</t>
        </is>
      </c>
      <c r="K49" s="14" t="inlineStr">
        <is>
          <t>ACAPS; AMMC fund register; CDG/CMR/RCAR annual reports</t>
        </is>
      </c>
      <c r="L49" s="14" t="n">
        <v>1</v>
      </c>
      <c r="M49" s="14" t="n">
        <v>0</v>
      </c>
      <c r="N49" s="14" t="n">
        <v>0</v>
      </c>
      <c r="O49" s="14" t="inlineStr">
        <is>
          <t>No - sweep row seeded only</t>
        </is>
      </c>
      <c r="P49" s="14" t="n"/>
      <c r="Q49" s="14" t="inlineStr">
        <is>
          <t>No</t>
        </is>
      </c>
      <c r="R49" s="14" t="n"/>
      <c r="S49" s="14" t="n"/>
      <c r="T49" s="14" t="inlineStr">
        <is>
          <t>Run official-document and local-language query batch; record latest docs checked and add candidate rows where allocator-to-vehicle evidence appears.</t>
        </is>
      </c>
      <c r="U49" s="14" t="inlineStr">
        <is>
          <t>2026-06-05</t>
        </is>
      </c>
      <c r="V49" s="14" t="inlineStr">
        <is>
          <t>Anchor investor in domestic sectoral funds and PPP platforms.</t>
        </is>
      </c>
    </row>
  </sheetData>
  <autoFilter ref="A1:V4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127"/>
  <sheetViews>
    <sheetView zoomScaleNormal="100" workbookViewId="0">
      <pane ySplit="1" topLeftCell="A2" activePane="bottomLeft" state="frozen"/>
      <selection pane="bottomLeft" activeCell="A1" sqref="A1"/>
    </sheetView>
  </sheetViews>
  <sheetFormatPr baseColWidth="8" defaultColWidth="8.7109375" defaultRowHeight="15"/>
  <cols>
    <col width="30" customWidth="1" style="26" min="1" max="1"/>
    <col width="14" customWidth="1" style="26" min="2" max="2"/>
    <col width="22" customWidth="1" style="26" min="3" max="3"/>
    <col width="18" customWidth="1" style="26" min="4" max="4"/>
    <col width="30" customWidth="1" style="26" min="5" max="5"/>
    <col width="38" customWidth="1" style="26" min="6" max="6"/>
    <col width="22" customWidth="1" style="26" min="7" max="8"/>
    <col width="14" customWidth="1" style="26" min="9" max="9"/>
    <col width="26" customWidth="1" style="26" min="10" max="10"/>
    <col width="8" customWidth="1" style="26" min="11" max="11"/>
    <col width="28" customWidth="1" style="26" min="12" max="12"/>
    <col width="32" customWidth="1" style="26" min="13" max="13"/>
    <col width="12" customWidth="1" style="26" min="14" max="14"/>
    <col width="60" customWidth="1" style="26" min="15" max="15"/>
  </cols>
  <sheetData>
    <row r="1" ht="23.25" customHeight="1" s="26">
      <c r="A1" s="1" t="inlineStr">
        <is>
          <t>Allocator (institution)</t>
        </is>
      </c>
      <c r="B1" s="1" t="inlineStr">
        <is>
          <t>Allocator country</t>
        </is>
      </c>
      <c r="C1" s="1" t="inlineStr">
        <is>
          <t>Allocator type</t>
        </is>
      </c>
      <c r="D1" s="1" t="inlineStr">
        <is>
          <t>Commitment type</t>
        </is>
      </c>
      <c r="E1" s="1" t="inlineStr">
        <is>
          <t>GP or counterparty</t>
        </is>
      </c>
      <c r="F1" s="1" t="inlineStr">
        <is>
          <t>Fund / Vehicle / Client</t>
        </is>
      </c>
      <c r="G1" s="1" t="inlineStr">
        <is>
          <t>Asset class</t>
        </is>
      </c>
      <c r="H1" s="1" t="inlineStr">
        <is>
          <t>Geographic focus</t>
        </is>
      </c>
      <c r="I1" s="1" t="inlineStr">
        <is>
          <t>Vintage / Year</t>
        </is>
      </c>
      <c r="J1" s="1" t="inlineStr">
        <is>
          <t>Commitment size (reported)</t>
        </is>
      </c>
      <c r="K1" s="1" t="inlineStr">
        <is>
          <t>Currency</t>
        </is>
      </c>
      <c r="L1" s="1" t="inlineStr">
        <is>
          <t>Disclosure type</t>
        </is>
      </c>
      <c r="M1" s="1" t="inlineStr">
        <is>
          <t>Source (short)</t>
        </is>
      </c>
      <c r="N1" s="1" t="inlineStr">
        <is>
          <t>Confidence</t>
        </is>
      </c>
      <c r="O1" s="1" t="inlineStr">
        <is>
          <t>Notes</t>
        </is>
      </c>
      <c r="P1" t="inlineStr">
        <is>
          <t>Asset class normalized</t>
        </is>
      </c>
      <c r="Q1" t="inlineStr">
        <is>
          <t>Sector / thematic focus</t>
        </is>
      </c>
      <c r="R1" t="inlineStr">
        <is>
          <t>Investment approach</t>
        </is>
      </c>
      <c r="S1" t="inlineStr">
        <is>
          <t>Source IDs</t>
        </is>
      </c>
    </row>
    <row r="2" ht="23.25" customHeight="1" s="26">
      <c r="A2" s="2" t="inlineStr">
        <is>
          <t>PIC (mgr for GEPF)</t>
        </is>
      </c>
      <c r="B2" s="2" t="inlineStr">
        <is>
          <t>South Africa</t>
        </is>
      </c>
      <c r="C2" s="2" t="inlineStr">
        <is>
          <t>Public PF (via mgr)</t>
        </is>
      </c>
      <c r="D2" s="2" t="inlineStr">
        <is>
          <t>Fund LP</t>
        </is>
      </c>
      <c r="E2" s="2" t="n"/>
      <c r="F2" s="2" t="inlineStr">
        <is>
          <t>Africa50</t>
        </is>
      </c>
      <c r="G2" s="2" t="inlineStr">
        <is>
          <t>Infrastructure platform</t>
        </is>
      </c>
      <c r="H2" s="2" t="inlineStr">
        <is>
          <t>Pan-Africa</t>
        </is>
      </c>
      <c r="I2" s="2" t="n">
        <v>2025</v>
      </c>
      <c r="J2" s="2" t="inlineStr">
        <is>
          <t>USD 40m</t>
        </is>
      </c>
      <c r="K2" s="2" t="inlineStr">
        <is>
          <t>USD</t>
        </is>
      </c>
      <c r="L2" s="2" t="inlineStr">
        <is>
          <t>Press release</t>
        </is>
      </c>
      <c r="M2" s="2" t="inlineStr">
        <is>
          <t>Africa50 announcement Apr 2025</t>
        </is>
      </c>
      <c r="N2" s="2" t="inlineStr">
        <is>
          <t>H</t>
        </is>
      </c>
      <c r="O2" s="2" t="inlineStr">
        <is>
          <t>PIC became 36th shareholder of Africa50 with USD 40m investment, signalling continental infrastructure commitment.</t>
        </is>
      </c>
      <c r="P2" t="inlineStr">
        <is>
          <t>Direct Equity / Strategic Stake</t>
        </is>
      </c>
      <c r="Q2" t="inlineStr">
        <is>
          <t>Infrastructure</t>
        </is>
      </c>
      <c r="R2" t="inlineStr">
        <is>
          <t>Fund LP</t>
        </is>
      </c>
      <c r="S2" t="inlineStr">
        <is>
          <t>S001</t>
        </is>
      </c>
    </row>
    <row r="3" ht="23.25" customHeight="1" s="26">
      <c r="A3" s="2" t="inlineStr">
        <is>
          <t>PIC (mgr for GEPF)</t>
        </is>
      </c>
      <c r="B3" s="2" t="inlineStr">
        <is>
          <t>South Africa</t>
        </is>
      </c>
      <c r="C3" s="2" t="inlineStr">
        <is>
          <t>Public PF (via mgr)</t>
        </is>
      </c>
      <c r="D3" s="2" t="inlineStr">
        <is>
          <t>Fund LP</t>
        </is>
      </c>
      <c r="E3" s="2" t="inlineStr">
        <is>
          <t>Pembani Remgro</t>
        </is>
      </c>
      <c r="F3" s="2" t="inlineStr">
        <is>
          <t>Pembani Remgro Infrastructure Fund</t>
        </is>
      </c>
      <c r="G3" s="2" t="inlineStr">
        <is>
          <t>Infrastructure</t>
        </is>
      </c>
      <c r="H3" s="2" t="inlineStr">
        <is>
          <t>Pan-Africa</t>
        </is>
      </c>
      <c r="I3" s="2" t="n">
        <v>2015</v>
      </c>
      <c r="J3" s="2" t="inlineStr">
        <is>
          <t>USD ~250m (anchor)</t>
        </is>
      </c>
      <c r="K3" s="2" t="inlineStr">
        <is>
          <t>USD</t>
        </is>
      </c>
      <c r="L3" s="2" t="inlineStr">
        <is>
          <t>Trade press</t>
        </is>
      </c>
      <c r="M3" s="2" t="inlineStr">
        <is>
          <t>Africa Capital Digest reporting</t>
        </is>
      </c>
      <c r="N3" s="2" t="inlineStr">
        <is>
          <t>M</t>
        </is>
      </c>
      <c r="O3" s="2" t="inlineStr">
        <is>
          <t>PIC was an anchor LP at fund formation. Source confirms Pembani Remgro Infrastructure Fund first close and private-pension participation but does not name PIC/GEPF; retain for review unless named PIC evidence is found.</t>
        </is>
      </c>
      <c r="P3" t="inlineStr">
        <is>
          <t>Real Assets / Infrastructure Equity</t>
        </is>
      </c>
      <c r="Q3" t="inlineStr">
        <is>
          <t>Infrastructure</t>
        </is>
      </c>
      <c r="R3" t="inlineStr">
        <is>
          <t>Fund LP</t>
        </is>
      </c>
      <c r="S3" t="inlineStr">
        <is>
          <t>S251</t>
        </is>
      </c>
    </row>
    <row r="4" ht="15" customHeight="1" s="26">
      <c r="A4" s="2" t="inlineStr">
        <is>
          <t>PIC (mgr for GEPF)</t>
        </is>
      </c>
      <c r="B4" s="2" t="inlineStr">
        <is>
          <t>South Africa</t>
        </is>
      </c>
      <c r="C4" s="2" t="inlineStr">
        <is>
          <t>Public PF (via mgr)</t>
        </is>
      </c>
      <c r="D4" s="2" t="inlineStr">
        <is>
          <t>Fund LP</t>
        </is>
      </c>
      <c r="E4" s="2" t="inlineStr">
        <is>
          <t>Convergence Partners</t>
        </is>
      </c>
      <c r="F4" s="2" t="inlineStr">
        <is>
          <t>Convergence Partners Communications Infrastructure Fund</t>
        </is>
      </c>
      <c r="G4" s="2" t="inlineStr">
        <is>
          <t>Infrastructure</t>
        </is>
      </c>
      <c r="H4" s="2" t="inlineStr">
        <is>
          <t>Pan-Africa</t>
        </is>
      </c>
      <c r="I4" s="2" t="inlineStr">
        <is>
          <t>various</t>
        </is>
      </c>
      <c r="J4" s="2" t="inlineStr">
        <is>
          <t>Not disclosed publicly</t>
        </is>
      </c>
      <c r="K4" s="2" t="inlineStr">
        <is>
          <t>USD</t>
        </is>
      </c>
      <c r="L4" s="2" t="inlineStr">
        <is>
          <t>Trade press</t>
        </is>
      </c>
      <c r="M4" s="2" t="inlineStr">
        <is>
          <t>AVCA fund close reporting</t>
        </is>
      </c>
      <c r="N4" s="2" t="inlineStr">
        <is>
          <t>M</t>
        </is>
      </c>
      <c r="O4" s="2" t="inlineStr">
        <is>
          <t>PIC participated in Convergence Partners' digital infrastructure platform.</t>
        </is>
      </c>
      <c r="P4" t="inlineStr">
        <is>
          <t>Real Assets / Infrastructure Equity</t>
        </is>
      </c>
      <c r="Q4" t="inlineStr">
        <is>
          <t>Infrastructure; Digital / Technology</t>
        </is>
      </c>
      <c r="R4" t="inlineStr">
        <is>
          <t>Fund LP</t>
        </is>
      </c>
      <c r="S4" t="inlineStr">
        <is>
          <t>S252</t>
        </is>
      </c>
    </row>
    <row r="5" ht="23.25" customHeight="1" s="26">
      <c r="A5" s="2" t="inlineStr">
        <is>
          <t>PIC (mgr for GEPF)</t>
        </is>
      </c>
      <c r="B5" s="2" t="inlineStr">
        <is>
          <t>South Africa</t>
        </is>
      </c>
      <c r="C5" s="2" t="inlineStr">
        <is>
          <t>Public PF (via mgr)</t>
        </is>
      </c>
      <c r="D5" s="2" t="inlineStr">
        <is>
          <t>Direct equity</t>
        </is>
      </c>
      <c r="E5" s="2" t="n"/>
      <c r="F5" s="2" t="inlineStr">
        <is>
          <t>Isibaya developmental investments portfolio</t>
        </is>
      </c>
      <c r="G5" s="2" t="inlineStr">
        <is>
          <t>Direct / Mixed</t>
        </is>
      </c>
      <c r="H5" s="2" t="inlineStr">
        <is>
          <t>Domestic + Africa</t>
        </is>
      </c>
      <c r="I5" s="2" t="inlineStr">
        <is>
          <t>ongoing</t>
        </is>
      </c>
      <c r="J5" s="2" t="inlineStr">
        <is>
          <t>ZAR ~70bn cumulative</t>
        </is>
      </c>
      <c r="K5" s="2" t="inlineStr">
        <is>
          <t>ZAR</t>
        </is>
      </c>
      <c r="L5" s="2" t="inlineStr">
        <is>
          <t>Annual report</t>
        </is>
      </c>
      <c r="M5" s="2" t="inlineStr">
        <is>
          <t>PIC Corporate Plan 2025/26</t>
        </is>
      </c>
      <c r="N5" s="2" t="inlineStr">
        <is>
          <t>H</t>
        </is>
      </c>
      <c r="O5" s="2" t="inlineStr">
        <is>
          <t>Isibaya programme deploys to unlisted equity and infrastructure across SA and rest of Africa; PIC reports ~20% to alternatives overall.</t>
        </is>
      </c>
      <c r="P5" t="inlineStr">
        <is>
          <t>Direct Equity / Strategic Stake</t>
        </is>
      </c>
      <c r="Q5" t="inlineStr">
        <is>
          <t>Infrastructure; Multi-Sector</t>
        </is>
      </c>
      <c r="R5" t="inlineStr">
        <is>
          <t>Direct Investment</t>
        </is>
      </c>
      <c r="S5" t="inlineStr">
        <is>
          <t>S002;S219;S220</t>
        </is>
      </c>
    </row>
    <row r="6" ht="23.25" customHeight="1" s="26">
      <c r="A6" s="2" t="inlineStr">
        <is>
          <t>Eskom Pension and Provident Fund (EPPF)</t>
        </is>
      </c>
      <c r="B6" s="2" t="inlineStr">
        <is>
          <t>South Africa</t>
        </is>
      </c>
      <c r="C6" s="2" t="inlineStr">
        <is>
          <t>Parastatal PF</t>
        </is>
      </c>
      <c r="D6" s="2" t="inlineStr">
        <is>
          <t>Fund LP</t>
        </is>
      </c>
      <c r="E6" s="2" t="inlineStr">
        <is>
          <t>Multiple SA + pan-Africa GPs</t>
        </is>
      </c>
      <c r="F6" s="2" t="inlineStr">
        <is>
          <t>Multiple PE funds</t>
        </is>
      </c>
      <c r="G6" s="2" t="inlineStr">
        <is>
          <t>PE</t>
        </is>
      </c>
      <c r="H6" s="2" t="inlineStr">
        <is>
          <t>South Africa + Pan-Africa</t>
        </is>
      </c>
      <c r="I6" s="2" t="inlineStr">
        <is>
          <t>10+ years history</t>
        </is>
      </c>
      <c r="J6" s="2" t="inlineStr">
        <is>
          <t>~4% of AUM</t>
        </is>
      </c>
      <c r="K6" s="2" t="inlineStr">
        <is>
          <t>ZAR</t>
        </is>
      </c>
      <c r="L6" s="2" t="inlineStr">
        <is>
          <t>Top1000funds.com profile / EPPF disclosure</t>
        </is>
      </c>
      <c r="M6" s="2" t="inlineStr">
        <is>
          <t>EPPF investment strategy</t>
        </is>
      </c>
      <c r="N6" s="2" t="inlineStr">
        <is>
          <t>H</t>
        </is>
      </c>
      <c r="O6" s="2" t="inlineStr">
        <is>
          <t>EPPF has been investing in PE for 10+ years; ~10% to alts total, ~4% to PE; selectively includes pan-Africa funds.</t>
        </is>
      </c>
      <c r="P6" t="inlineStr">
        <is>
          <t>Mixed / Multi-Asset</t>
        </is>
      </c>
      <c r="Q6" t="inlineStr">
        <is>
          <t>Multi-Sector</t>
        </is>
      </c>
      <c r="R6" t="inlineStr">
        <is>
          <t>Fund LP</t>
        </is>
      </c>
      <c r="S6" t="inlineStr">
        <is>
          <t>S032;S033</t>
        </is>
      </c>
    </row>
    <row r="7" ht="23.25" customHeight="1" s="26">
      <c r="A7" s="2" t="inlineStr">
        <is>
          <t>GEPF (via PIC)</t>
        </is>
      </c>
      <c r="B7" s="2" t="inlineStr">
        <is>
          <t>South Africa</t>
        </is>
      </c>
      <c r="C7" s="2" t="inlineStr">
        <is>
          <t>Public PF (via mgr)</t>
        </is>
      </c>
      <c r="D7" s="2" t="inlineStr">
        <is>
          <t>Platform</t>
        </is>
      </c>
      <c r="E7" s="2" t="n"/>
      <c r="F7" s="2" t="inlineStr">
        <is>
          <t>Africa50</t>
        </is>
      </c>
      <c r="G7" s="2" t="inlineStr">
        <is>
          <t>Infrastructure platform</t>
        </is>
      </c>
      <c r="H7" s="2" t="inlineStr">
        <is>
          <t>Pan-Africa</t>
        </is>
      </c>
      <c r="I7" s="2" t="n">
        <v>2025</v>
      </c>
      <c r="J7" s="2" t="inlineStr">
        <is>
          <t>USD 40m (via PIC)</t>
        </is>
      </c>
      <c r="K7" s="2" t="inlineStr">
        <is>
          <t>USD</t>
        </is>
      </c>
      <c r="L7" s="2" t="inlineStr">
        <is>
          <t>Press release</t>
        </is>
      </c>
      <c r="M7" s="2" t="inlineStr">
        <is>
          <t>Africa50 announcement</t>
        </is>
      </c>
      <c r="N7" s="2" t="inlineStr">
        <is>
          <t>H</t>
        </is>
      </c>
      <c r="O7" s="2" t="inlineStr">
        <is>
          <t>GEPF is ultimate asset owner; PIC executes.</t>
        </is>
      </c>
      <c r="P7" t="inlineStr">
        <is>
          <t>Direct Equity / Strategic Stake</t>
        </is>
      </c>
      <c r="Q7" t="inlineStr">
        <is>
          <t>Infrastructure; Financial Inclusion / Financial Services</t>
        </is>
      </c>
      <c r="R7" t="inlineStr">
        <is>
          <t>Platform / Anchor Sponsor</t>
        </is>
      </c>
      <c r="S7" t="inlineStr">
        <is>
          <t>S001</t>
        </is>
      </c>
    </row>
    <row r="8" ht="15" customHeight="1" s="26">
      <c r="A8" s="2" t="inlineStr">
        <is>
          <t>Nigeria Sovereign Investment Authority (NSIA)</t>
        </is>
      </c>
      <c r="B8" s="2" t="inlineStr">
        <is>
          <t>Nigeria</t>
        </is>
      </c>
      <c r="C8" s="2" t="inlineStr">
        <is>
          <t>SWF (3 sub-funds)</t>
        </is>
      </c>
      <c r="D8" s="2" t="inlineStr">
        <is>
          <t>Fund LP</t>
        </is>
      </c>
      <c r="E8" s="2" t="inlineStr">
        <is>
          <t>Africa50</t>
        </is>
      </c>
      <c r="F8" s="2" t="inlineStr">
        <is>
          <t>Africa50 Infrastructure Acceleration Fund (IAF)</t>
        </is>
      </c>
      <c r="G8" s="2" t="inlineStr">
        <is>
          <t>Infrastructure</t>
        </is>
      </c>
      <c r="H8" s="2" t="inlineStr">
        <is>
          <t>Pan-Africa</t>
        </is>
      </c>
      <c r="I8" s="2" t="n">
        <v>2026</v>
      </c>
      <c r="J8" s="2" t="inlineStr">
        <is>
          <t>Not disclosed</t>
        </is>
      </c>
      <c r="K8" s="2" t="inlineStr">
        <is>
          <t>USD</t>
        </is>
      </c>
      <c r="L8" s="2" t="inlineStr">
        <is>
          <t>Press release</t>
        </is>
      </c>
      <c r="M8" s="2" t="inlineStr">
        <is>
          <t>NSIA announcement Feb 2026</t>
        </is>
      </c>
      <c r="N8" s="2" t="inlineStr">
        <is>
          <t>H</t>
        </is>
      </c>
      <c r="O8" s="2" t="inlineStr">
        <is>
          <t>Latest committed fund LP investment; aligns with NIF sub-fund mandate.</t>
        </is>
      </c>
      <c r="P8" t="inlineStr">
        <is>
          <t>Real Assets / Infrastructure Equity</t>
        </is>
      </c>
      <c r="Q8" t="inlineStr">
        <is>
          <t>Infrastructure</t>
        </is>
      </c>
      <c r="R8" t="inlineStr">
        <is>
          <t>Fund LP</t>
        </is>
      </c>
      <c r="S8" t="inlineStr">
        <is>
          <t>S004;S088</t>
        </is>
      </c>
    </row>
    <row r="9" ht="23.25" customHeight="1" s="26">
      <c r="A9" s="2" t="inlineStr">
        <is>
          <t>Nigeria Sovereign Investment Authority (NSIA)</t>
        </is>
      </c>
      <c r="B9" s="2" t="inlineStr">
        <is>
          <t>Nigeria</t>
        </is>
      </c>
      <c r="C9" s="2" t="inlineStr">
        <is>
          <t>SWF (3 sub-funds)</t>
        </is>
      </c>
      <c r="D9" s="2" t="inlineStr">
        <is>
          <t>Direct equity</t>
        </is>
      </c>
      <c r="E9" s="2" t="n"/>
      <c r="F9" s="2" t="inlineStr">
        <is>
          <t>Nigeria Infrastructure Fund (NIF) direct deals</t>
        </is>
      </c>
      <c r="G9" s="2" t="inlineStr">
        <is>
          <t>Direct / Infrastructure</t>
        </is>
      </c>
      <c r="H9" s="2" t="inlineStr">
        <is>
          <t>Domestic</t>
        </is>
      </c>
      <c r="I9" s="2" t="inlineStr">
        <is>
          <t>ongoing</t>
        </is>
      </c>
      <c r="J9" s="2" t="inlineStr">
        <is>
          <t>USD 550m+ added FY24</t>
        </is>
      </c>
      <c r="K9" s="2" t="inlineStr">
        <is>
          <t>USD</t>
        </is>
      </c>
      <c r="L9" s="2" t="inlineStr">
        <is>
          <t>Press release / annual report</t>
        </is>
      </c>
      <c r="M9" s="2" t="inlineStr">
        <is>
          <t>NSIA disclosure on additional govt funding</t>
        </is>
      </c>
      <c r="N9" s="2" t="inlineStr">
        <is>
          <t>H</t>
        </is>
      </c>
      <c r="O9" s="2" t="inlineStr">
        <is>
          <t>Federal Government injected USD 550m to scale energy infra; NIF is the direct-deal vehicle.</t>
        </is>
      </c>
      <c r="P9" t="inlineStr">
        <is>
          <t>Direct Equity / Strategic Stake</t>
        </is>
      </c>
      <c r="Q9" t="inlineStr">
        <is>
          <t>Infrastructure; Multi-Sector</t>
        </is>
      </c>
      <c r="R9" t="inlineStr">
        <is>
          <t>Direct Investment</t>
        </is>
      </c>
      <c r="S9" t="inlineStr">
        <is>
          <t>S006</t>
        </is>
      </c>
    </row>
    <row r="10" ht="23.25" customHeight="1" s="26">
      <c r="A10" s="2" t="inlineStr">
        <is>
          <t>Nigeria Sovereign Investment Authority (NSIA)</t>
        </is>
      </c>
      <c r="B10" s="2" t="inlineStr">
        <is>
          <t>Nigeria</t>
        </is>
      </c>
      <c r="C10" s="2" t="inlineStr">
        <is>
          <t>SWF</t>
        </is>
      </c>
      <c r="D10" s="2" t="inlineStr">
        <is>
          <t>Direct equity</t>
        </is>
      </c>
      <c r="E10" s="2" t="n"/>
      <c r="F10" s="2" t="inlineStr">
        <is>
          <t>Lekki Deep Sea Port (PPP equity)</t>
        </is>
      </c>
      <c r="G10" s="2" t="inlineStr">
        <is>
          <t>Direct / Infrastructure</t>
        </is>
      </c>
      <c r="H10" s="2" t="inlineStr">
        <is>
          <t>Domestic</t>
        </is>
      </c>
      <c r="I10" s="2" t="inlineStr">
        <is>
          <t>2017–</t>
        </is>
      </c>
      <c r="J10" s="2" t="inlineStr">
        <is>
          <t>Not disclosed</t>
        </is>
      </c>
      <c r="K10" s="2" t="inlineStr">
        <is>
          <t>USD</t>
        </is>
      </c>
      <c r="L10" s="2" t="inlineStr">
        <is>
          <t>Annual report / trade press</t>
        </is>
      </c>
      <c r="M10" s="2" t="inlineStr">
        <is>
          <t>NSIA NIF portfolio disclosures</t>
        </is>
      </c>
      <c r="N10" s="2" t="inlineStr">
        <is>
          <t>H</t>
        </is>
      </c>
      <c r="O10" s="2" t="inlineStr">
        <is>
          <t>Notable NIF direct PPP equity stake.</t>
        </is>
      </c>
      <c r="P10" t="inlineStr">
        <is>
          <t>Direct Equity / Strategic Stake</t>
        </is>
      </c>
      <c r="Q10" t="inlineStr">
        <is>
          <t>Infrastructure</t>
        </is>
      </c>
      <c r="R10" t="inlineStr">
        <is>
          <t>Direct Investment</t>
        </is>
      </c>
      <c r="S10" t="inlineStr">
        <is>
          <t>S006</t>
        </is>
      </c>
    </row>
    <row r="11" ht="23.25" customHeight="1" s="26">
      <c r="A11" s="2" t="inlineStr">
        <is>
          <t>Nigeria Sovereign Investment Authority (NSIA)</t>
        </is>
      </c>
      <c r="B11" s="2" t="inlineStr">
        <is>
          <t>Nigeria</t>
        </is>
      </c>
      <c r="C11" s="2" t="inlineStr">
        <is>
          <t>SWF</t>
        </is>
      </c>
      <c r="D11" s="2" t="inlineStr">
        <is>
          <t>Direct equity</t>
        </is>
      </c>
      <c r="E11" s="2" t="n"/>
      <c r="F11" s="2" t="inlineStr">
        <is>
          <t>Pandagric Novum (agribusiness)</t>
        </is>
      </c>
      <c r="G11" s="2" t="inlineStr">
        <is>
          <t>Direct / Agribusiness</t>
        </is>
      </c>
      <c r="H11" s="2" t="inlineStr">
        <is>
          <t>Domestic</t>
        </is>
      </c>
      <c r="I11" s="2" t="inlineStr">
        <is>
          <t>2018–</t>
        </is>
      </c>
      <c r="J11" s="2" t="inlineStr">
        <is>
          <t>Not disclosed</t>
        </is>
      </c>
      <c r="K11" s="2" t="inlineStr">
        <is>
          <t>USD</t>
        </is>
      </c>
      <c r="L11" s="2" t="inlineStr">
        <is>
          <t>Annual report</t>
        </is>
      </c>
      <c r="M11" s="2" t="inlineStr">
        <is>
          <t>NSIA NIF portfolio</t>
        </is>
      </c>
      <c r="N11" s="2" t="inlineStr">
        <is>
          <t>H</t>
        </is>
      </c>
      <c r="O11" s="2" t="inlineStr">
        <is>
          <t>NIF agribusiness anchor investment.</t>
        </is>
      </c>
      <c r="P11" t="inlineStr">
        <is>
          <t>Direct Equity / Strategic Stake</t>
        </is>
      </c>
      <c r="Q11" t="inlineStr">
        <is>
          <t>Agriculture / Food Security</t>
        </is>
      </c>
      <c r="R11" t="inlineStr">
        <is>
          <t>Direct Investment</t>
        </is>
      </c>
      <c r="S11" t="inlineStr">
        <is>
          <t>S006</t>
        </is>
      </c>
    </row>
    <row r="12" ht="23.25" customHeight="1" s="26">
      <c r="A12" s="2" t="inlineStr">
        <is>
          <t>Multiple Nigerian PFAs (consortium)</t>
        </is>
      </c>
      <c r="B12" s="2" t="inlineStr">
        <is>
          <t>Nigeria</t>
        </is>
      </c>
      <c r="C12" s="2" t="inlineStr">
        <is>
          <t>PFA cohort</t>
        </is>
      </c>
      <c r="D12" s="2" t="inlineStr">
        <is>
          <t>Fund LP</t>
        </is>
      </c>
      <c r="E12" s="2" t="inlineStr">
        <is>
          <t>ARM-Harith Infrastructure Investment</t>
        </is>
      </c>
      <c r="F12" s="2" t="inlineStr">
        <is>
          <t>ARM-Harith Infrastructure Fund I</t>
        </is>
      </c>
      <c r="G12" s="2" t="inlineStr">
        <is>
          <t>Infrastructure</t>
        </is>
      </c>
      <c r="H12" s="2" t="inlineStr">
        <is>
          <t>Nigeria</t>
        </is>
      </c>
      <c r="I12" s="2" t="n">
        <v>2015</v>
      </c>
      <c r="J12" s="2" t="inlineStr">
        <is>
          <t>USD ~30m raised total (mostly local pensions)</t>
        </is>
      </c>
      <c r="K12" s="2" t="inlineStr">
        <is>
          <t>USD/NGN</t>
        </is>
      </c>
      <c r="L12" s="2" t="inlineStr">
        <is>
          <t>Press release / trade press</t>
        </is>
      </c>
      <c r="M12" s="2" t="inlineStr">
        <is>
          <t>First fund local-pension participation</t>
        </is>
      </c>
      <c r="N12" s="2" t="inlineStr">
        <is>
          <t>H</t>
        </is>
      </c>
      <c r="O12" s="2" t="inlineStr">
        <is>
          <t>Landmark first Nigerian-pension-funded infra fund.</t>
        </is>
      </c>
      <c r="P12" t="inlineStr">
        <is>
          <t>Real Assets / Infrastructure Equity</t>
        </is>
      </c>
      <c r="Q12" t="inlineStr">
        <is>
          <t>Infrastructure</t>
        </is>
      </c>
      <c r="R12" t="inlineStr">
        <is>
          <t>Fund LP</t>
        </is>
      </c>
      <c r="S12" t="inlineStr">
        <is>
          <t>S030;S031</t>
        </is>
      </c>
    </row>
    <row r="13" ht="23.25" customHeight="1" s="26">
      <c r="A13" s="2" t="inlineStr">
        <is>
          <t>Stanbic IBTC Pension Managers</t>
        </is>
      </c>
      <c r="B13" s="2" t="inlineStr">
        <is>
          <t>Nigeria</t>
        </is>
      </c>
      <c r="C13" s="2" t="inlineStr">
        <is>
          <t>PFA</t>
        </is>
      </c>
      <c r="D13" s="2" t="inlineStr">
        <is>
          <t>Fund LP</t>
        </is>
      </c>
      <c r="E13" s="2" t="inlineStr">
        <is>
          <t>Various Nigerian PE/infra GPs</t>
        </is>
      </c>
      <c r="F13" s="2" t="inlineStr">
        <is>
          <t>Multiple funds</t>
        </is>
      </c>
      <c r="G13" s="2" t="inlineStr">
        <is>
          <t>PE / Infrastructure</t>
        </is>
      </c>
      <c r="H13" s="2" t="inlineStr">
        <is>
          <t>Nigeria / West Africa</t>
        </is>
      </c>
      <c r="I13" s="2" t="inlineStr">
        <is>
          <t>various 2014–2024</t>
        </is>
      </c>
      <c r="J13" s="2" t="inlineStr">
        <is>
          <t>Not disclosed at fund level</t>
        </is>
      </c>
      <c r="K13" s="2" t="inlineStr">
        <is>
          <t>NGN</t>
        </is>
      </c>
      <c r="L13" s="2" t="inlineStr">
        <is>
          <t>PenCom returns / trade press</t>
        </is>
      </c>
      <c r="M13" s="2" t="inlineStr">
        <is>
          <t>PenCom Multi-Fund disclosures</t>
        </is>
      </c>
      <c r="N13" s="2" t="inlineStr">
        <is>
          <t>M</t>
        </is>
      </c>
      <c r="O13" s="2" t="inlineStr">
        <is>
          <t>Largest PFA; alts are growing portion of portfolio under Multi-Fund Structure but per-fund sizes are not publicly disclosed. Stanbic multi-fund/public material supports structure and aggregate alternatives context but not named fund-level commitments; consider moving to reference/aggregate exposure if no named fund evidence is found.</t>
        </is>
      </c>
      <c r="P13" t="inlineStr">
        <is>
          <t>Real Assets / Infrastructure Equity</t>
        </is>
      </c>
      <c r="Q13" t="inlineStr">
        <is>
          <t>Infrastructure; Multi-Sector</t>
        </is>
      </c>
      <c r="R13" t="inlineStr">
        <is>
          <t>Fund LP</t>
        </is>
      </c>
      <c r="S13" t="inlineStr">
        <is>
          <t>S260</t>
        </is>
      </c>
    </row>
    <row r="14" ht="23.25" customHeight="1" s="26">
      <c r="A14" s="2" t="inlineStr">
        <is>
          <t>ARM Pension Managers (Access ARM Pensions)</t>
        </is>
      </c>
      <c r="B14" s="2" t="inlineStr">
        <is>
          <t>Nigeria</t>
        </is>
      </c>
      <c r="C14" s="2" t="inlineStr">
        <is>
          <t>PFA</t>
        </is>
      </c>
      <c r="D14" s="2" t="inlineStr">
        <is>
          <t>Fund LP</t>
        </is>
      </c>
      <c r="E14" s="2" t="inlineStr">
        <is>
          <t>ARM-Harith Infrastructure Investment</t>
        </is>
      </c>
      <c r="F14" s="2" t="inlineStr">
        <is>
          <t>ARM-Harith funds (intra-group affiliate)</t>
        </is>
      </c>
      <c r="G14" s="2" t="inlineStr">
        <is>
          <t>Infrastructure</t>
        </is>
      </c>
      <c r="H14" s="2" t="inlineStr">
        <is>
          <t>Nigeria</t>
        </is>
      </c>
      <c r="I14" s="2" t="inlineStr">
        <is>
          <t>various</t>
        </is>
      </c>
      <c r="J14" s="2" t="inlineStr">
        <is>
          <t>Not disclosed publicly</t>
        </is>
      </c>
      <c r="K14" s="2" t="inlineStr">
        <is>
          <t>NGN</t>
        </is>
      </c>
      <c r="L14" s="2" t="inlineStr">
        <is>
          <t>Industry reporting</t>
        </is>
      </c>
      <c r="M14" s="2" t="inlineStr">
        <is>
          <t>ARM group disclosures</t>
        </is>
      </c>
      <c r="N14" s="2" t="inlineStr">
        <is>
          <t>M</t>
        </is>
      </c>
      <c r="O14" s="2" t="inlineStr">
        <is>
          <t>ARM Pension and ARM-Harith are part of the same group; intra-group LP commitments are an obvious starting point.</t>
        </is>
      </c>
      <c r="P14" t="inlineStr">
        <is>
          <t>Real Assets / Infrastructure Equity</t>
        </is>
      </c>
      <c r="Q14" t="inlineStr">
        <is>
          <t>Infrastructure</t>
        </is>
      </c>
      <c r="R14" t="inlineStr">
        <is>
          <t>Fund LP</t>
        </is>
      </c>
      <c r="S14" t="inlineStr">
        <is>
          <t>S030;S031</t>
        </is>
      </c>
    </row>
    <row r="15" ht="34.5" customHeight="1" s="26">
      <c r="A15" s="2" t="inlineStr">
        <is>
          <t>The Sovereign Fund of Egypt (TSFE)</t>
        </is>
      </c>
      <c r="B15" s="2" t="inlineStr">
        <is>
          <t>Egypt</t>
        </is>
      </c>
      <c r="C15" s="2" t="inlineStr">
        <is>
          <t>SWF (strategic)</t>
        </is>
      </c>
      <c r="D15" s="2" t="inlineStr">
        <is>
          <t>Co-investment</t>
        </is>
      </c>
      <c r="E15" s="2" t="n"/>
      <c r="F15" s="2" t="inlineStr">
        <is>
          <t>EZ International (El-Ezaby Pharmacy logistics JV)</t>
        </is>
      </c>
      <c r="G15" s="2" t="inlineStr">
        <is>
          <t>Direct / Healthcare</t>
        </is>
      </c>
      <c r="H15" s="2" t="inlineStr">
        <is>
          <t>Domestic</t>
        </is>
      </c>
      <c r="I15" s="2" t="n">
        <v>2024</v>
      </c>
      <c r="J15" s="2" t="inlineStr">
        <is>
          <t>Not disclosed</t>
        </is>
      </c>
      <c r="K15" s="2" t="inlineStr">
        <is>
          <t>EGP</t>
        </is>
      </c>
      <c r="L15" s="2" t="inlineStr">
        <is>
          <t>Press release</t>
        </is>
      </c>
      <c r="M15" s="2" t="inlineStr">
        <is>
          <t>TSFE Healthcare &amp; Pharma Subfund announcement</t>
        </is>
      </c>
      <c r="N15" s="2" t="inlineStr">
        <is>
          <t>H</t>
        </is>
      </c>
      <c r="O15" s="2" t="inlineStr">
        <is>
          <t>Co-invested via Healthcare &amp; Pharma Subfund with B Investments and El-Ezaby Pharmacy.</t>
        </is>
      </c>
      <c r="P15" t="inlineStr">
        <is>
          <t>Direct Equity / Strategic Stake</t>
        </is>
      </c>
      <c r="Q15" t="inlineStr">
        <is>
          <t>Healthcare</t>
        </is>
      </c>
      <c r="R15" t="inlineStr">
        <is>
          <t>Co-investment</t>
        </is>
      </c>
      <c r="S15" t="inlineStr">
        <is>
          <t>S023</t>
        </is>
      </c>
    </row>
    <row r="16" ht="23.25" customHeight="1" s="26">
      <c r="A16" s="2" t="inlineStr">
        <is>
          <t>The Sovereign Fund of Egypt (TSFE)</t>
        </is>
      </c>
      <c r="B16" s="2" t="inlineStr">
        <is>
          <t>Egypt</t>
        </is>
      </c>
      <c r="C16" s="2" t="inlineStr">
        <is>
          <t>SWF (strategic)</t>
        </is>
      </c>
      <c r="D16" s="2" t="inlineStr">
        <is>
          <t>Platform</t>
        </is>
      </c>
      <c r="E16" s="2" t="n"/>
      <c r="F16" s="2" t="inlineStr">
        <is>
          <t>TSFE-ADQ Egyptian Health Platform</t>
        </is>
      </c>
      <c r="G16" s="2" t="inlineStr">
        <is>
          <t>Direct / Healthcare</t>
        </is>
      </c>
      <c r="H16" s="2" t="inlineStr">
        <is>
          <t>Domestic</t>
        </is>
      </c>
      <c r="I16" s="2" t="inlineStr">
        <is>
          <t>2022–</t>
        </is>
      </c>
      <c r="J16" s="2" t="inlineStr">
        <is>
          <t>USD ~2bn (platform)</t>
        </is>
      </c>
      <c r="K16" s="2" t="inlineStr">
        <is>
          <t>USD</t>
        </is>
      </c>
      <c r="L16" s="2" t="inlineStr">
        <is>
          <t>Press release</t>
        </is>
      </c>
      <c r="M16" s="2" t="inlineStr">
        <is>
          <t>ADQ-TSFE healthcare platform</t>
        </is>
      </c>
      <c r="N16" s="2" t="inlineStr">
        <is>
          <t>H</t>
        </is>
      </c>
      <c r="O16" s="2" t="inlineStr">
        <is>
          <t>Strategic healthcare platform co-developed with ADQ.</t>
        </is>
      </c>
      <c r="P16" t="inlineStr">
        <is>
          <t>Direct Equity / Strategic Stake</t>
        </is>
      </c>
      <c r="Q16" t="inlineStr">
        <is>
          <t>Healthcare</t>
        </is>
      </c>
      <c r="R16" t="inlineStr">
        <is>
          <t>Platform / Anchor Sponsor</t>
        </is>
      </c>
      <c r="S16" t="inlineStr">
        <is>
          <t>S023;S024</t>
        </is>
      </c>
    </row>
    <row r="17" ht="23.25" customHeight="1" s="26">
      <c r="A17" s="2" t="inlineStr">
        <is>
          <t>The Sovereign Fund of Egypt (TSFE)</t>
        </is>
      </c>
      <c r="B17" s="2" t="inlineStr">
        <is>
          <t>Egypt</t>
        </is>
      </c>
      <c r="C17" s="2" t="inlineStr">
        <is>
          <t>SWF (strategic)</t>
        </is>
      </c>
      <c r="D17" s="2" t="inlineStr">
        <is>
          <t>Platform</t>
        </is>
      </c>
      <c r="E17" s="2" t="n"/>
      <c r="F17" s="2" t="inlineStr">
        <is>
          <t>Various Gulf-Egypt platforms</t>
        </is>
      </c>
      <c r="G17" s="2" t="inlineStr">
        <is>
          <t>Direct / Mixed</t>
        </is>
      </c>
      <c r="H17" s="2" t="inlineStr">
        <is>
          <t>Domestic</t>
        </is>
      </c>
      <c r="I17" s="2" t="inlineStr">
        <is>
          <t>ongoing</t>
        </is>
      </c>
      <c r="J17" s="2" t="inlineStr">
        <is>
          <t>Multi-bn</t>
        </is>
      </c>
      <c r="K17" s="2" t="inlineStr">
        <is>
          <t>USD</t>
        </is>
      </c>
      <c r="L17" s="2" t="inlineStr">
        <is>
          <t>Press release</t>
        </is>
      </c>
      <c r="M17" s="2" t="inlineStr">
        <is>
          <t>Repeated Gulf SWF co-investment announcements</t>
        </is>
      </c>
      <c r="N17" s="2" t="inlineStr">
        <is>
          <t>H</t>
        </is>
      </c>
      <c r="O17" s="2" t="inlineStr">
        <is>
          <t>TSFE has been the on-ground co-investment vehicle for Gulf SWF deployment into Egypt across financial services, healthcare, infra.</t>
        </is>
      </c>
      <c r="P17" t="inlineStr">
        <is>
          <t>Direct Equity / Strategic Stake</t>
        </is>
      </c>
      <c r="Q17" t="inlineStr">
        <is>
          <t>Infrastructure; Financial Inclusion / Financial Services; Healthcare; Multi-Sector</t>
        </is>
      </c>
      <c r="R17" t="inlineStr">
        <is>
          <t>Platform / Anchor Sponsor</t>
        </is>
      </c>
      <c r="S17" t="inlineStr">
        <is>
          <t>S023;S024</t>
        </is>
      </c>
    </row>
    <row r="18" ht="23.25" customHeight="1" s="26">
      <c r="A18" s="2" t="inlineStr">
        <is>
          <t>Caisse de Dépôt et de Gestion (CDG)</t>
        </is>
      </c>
      <c r="B18" s="2" t="inlineStr">
        <is>
          <t>Morocco</t>
        </is>
      </c>
      <c r="C18" s="2" t="inlineStr">
        <is>
          <t>Sovereign + pension manager</t>
        </is>
      </c>
      <c r="D18" s="2" t="inlineStr">
        <is>
          <t>Direct equity</t>
        </is>
      </c>
      <c r="E18" s="2" t="n"/>
      <c r="F18" s="2" t="inlineStr">
        <is>
          <t>Fipar-Holding (CDG Invest)</t>
        </is>
      </c>
      <c r="G18" s="2" t="inlineStr">
        <is>
          <t>Direct / Diversified</t>
        </is>
      </c>
      <c r="H18" s="2" t="inlineStr">
        <is>
          <t>Domestic</t>
        </is>
      </c>
      <c r="I18" s="2" t="inlineStr">
        <is>
          <t>ongoing</t>
        </is>
      </c>
      <c r="J18" s="2" t="inlineStr">
        <is>
          <t>MAD multi-bn</t>
        </is>
      </c>
      <c r="K18" s="2" t="inlineStr">
        <is>
          <t>MAD</t>
        </is>
      </c>
      <c r="L18" s="2" t="inlineStr">
        <is>
          <t>Annual report</t>
        </is>
      </c>
      <c r="M18" s="2" t="inlineStr">
        <is>
          <t>CDG Group annual report</t>
        </is>
      </c>
      <c r="N18" s="2" t="inlineStr">
        <is>
          <t>H</t>
        </is>
      </c>
      <c r="O18" s="2" t="inlineStr">
        <is>
          <t>CDG Invest's direct-equity portfolio of Moroccan corporate stakes.</t>
        </is>
      </c>
      <c r="P18" t="inlineStr">
        <is>
          <t>Direct Equity / Strategic Stake</t>
        </is>
      </c>
      <c r="Q18" t="inlineStr">
        <is>
          <t>Infrastructure; Multi-Sector</t>
        </is>
      </c>
      <c r="R18" t="inlineStr">
        <is>
          <t>Direct Investment</t>
        </is>
      </c>
      <c r="S18" t="inlineStr">
        <is>
          <t>S027;S028</t>
        </is>
      </c>
    </row>
    <row r="19" ht="23.25" customHeight="1" s="26">
      <c r="A19" s="2" t="inlineStr">
        <is>
          <t>Caisse de Dépôt et de Gestion (CDG)</t>
        </is>
      </c>
      <c r="B19" s="2" t="inlineStr">
        <is>
          <t>Morocco</t>
        </is>
      </c>
      <c r="C19" s="2" t="inlineStr">
        <is>
          <t>Sovereign + pension manager</t>
        </is>
      </c>
      <c r="D19" s="2" t="inlineStr">
        <is>
          <t>Fund GP (manage)</t>
        </is>
      </c>
      <c r="E19" s="2" t="inlineStr">
        <is>
          <t>CDG Invest (self)</t>
        </is>
      </c>
      <c r="F19" s="2" t="inlineStr">
        <is>
          <t>CapMezzanine III</t>
        </is>
      </c>
      <c r="G19" s="2" t="inlineStr">
        <is>
          <t>Private credit / Mezz</t>
        </is>
      </c>
      <c r="H19" s="2" t="inlineStr">
        <is>
          <t>Domestic</t>
        </is>
      </c>
      <c r="I19" s="2" t="inlineStr">
        <is>
          <t>active</t>
        </is>
      </c>
      <c r="J19" s="2" t="inlineStr">
        <is>
          <t>Not separately disclosed</t>
        </is>
      </c>
      <c r="K19" s="2" t="inlineStr">
        <is>
          <t>MAD</t>
        </is>
      </c>
      <c r="L19" s="2" t="inlineStr">
        <is>
          <t>Annual report</t>
        </is>
      </c>
      <c r="M19" s="2" t="inlineStr">
        <is>
          <t>CDG Capital materials</t>
        </is>
      </c>
      <c r="N19" s="2" t="inlineStr">
        <is>
          <t>H</t>
        </is>
      </c>
      <c r="O19" s="2" t="inlineStr">
        <is>
          <t>CDG Invest manages CapMezzanine III, a mezzanine fund for Moroccan SMEs.</t>
        </is>
      </c>
      <c r="P19" t="inlineStr">
        <is>
          <t>Private Credit</t>
        </is>
      </c>
      <c r="Q19" t="inlineStr">
        <is>
          <t>SME Finance</t>
        </is>
      </c>
      <c r="R19" t="inlineStr">
        <is>
          <t>Fund LP</t>
        </is>
      </c>
      <c r="S19" t="inlineStr">
        <is>
          <t>S224;S027</t>
        </is>
      </c>
    </row>
    <row r="20" ht="23.25" customHeight="1" s="26">
      <c r="A20" s="2" t="inlineStr">
        <is>
          <t>Caisse de Dépôt et de Gestion (CDG)</t>
        </is>
      </c>
      <c r="B20" s="2" t="inlineStr">
        <is>
          <t>Morocco</t>
        </is>
      </c>
      <c r="C20" s="2" t="inlineStr">
        <is>
          <t>Sovereign + pension manager</t>
        </is>
      </c>
      <c r="D20" s="2" t="inlineStr">
        <is>
          <t>Fund GP (manage)</t>
        </is>
      </c>
      <c r="E20" s="2" t="inlineStr">
        <is>
          <t>CDG Invest (self)</t>
        </is>
      </c>
      <c r="F20" s="2" t="inlineStr">
        <is>
          <t>InfraMaroc</t>
        </is>
      </c>
      <c r="G20" s="2" t="inlineStr">
        <is>
          <t>Infrastructure</t>
        </is>
      </c>
      <c r="H20" s="2" t="inlineStr">
        <is>
          <t>Domestic</t>
        </is>
      </c>
      <c r="I20" s="2" t="inlineStr">
        <is>
          <t>active</t>
        </is>
      </c>
      <c r="J20" s="2" t="inlineStr">
        <is>
          <t>Not separately disclosed</t>
        </is>
      </c>
      <c r="K20" s="2" t="inlineStr">
        <is>
          <t>MAD</t>
        </is>
      </c>
      <c r="L20" s="2" t="inlineStr">
        <is>
          <t>Annual report</t>
        </is>
      </c>
      <c r="M20" s="2" t="inlineStr">
        <is>
          <t>CDG Capital materials</t>
        </is>
      </c>
      <c r="N20" s="2" t="inlineStr">
        <is>
          <t>H</t>
        </is>
      </c>
      <c r="O20" s="2" t="inlineStr">
        <is>
          <t>CDG-managed infra investment vehicle.</t>
        </is>
      </c>
      <c r="P20" t="inlineStr">
        <is>
          <t>Real Assets / Infrastructure Equity</t>
        </is>
      </c>
      <c r="Q20" t="inlineStr">
        <is>
          <t>Infrastructure</t>
        </is>
      </c>
      <c r="R20" t="inlineStr">
        <is>
          <t>Fund LP</t>
        </is>
      </c>
      <c r="S20" t="inlineStr">
        <is>
          <t>S027;S224</t>
        </is>
      </c>
    </row>
    <row r="21" ht="23.25" customHeight="1" s="26">
      <c r="A21" s="2" t="inlineStr">
        <is>
          <t>Caisse de Dépôt et de Gestion (CDG)</t>
        </is>
      </c>
      <c r="B21" s="2" t="inlineStr">
        <is>
          <t>Morocco</t>
        </is>
      </c>
      <c r="C21" s="2" t="inlineStr">
        <is>
          <t>Sovereign + pension manager</t>
        </is>
      </c>
      <c r="D21" s="2" t="inlineStr">
        <is>
          <t>Fund LP</t>
        </is>
      </c>
      <c r="E21" s="2" t="inlineStr">
        <is>
          <t>Mediterrania Capital Partners</t>
        </is>
      </c>
      <c r="F21" s="2" t="inlineStr">
        <is>
          <t>Mediterrania Capital II/III (historical)</t>
        </is>
      </c>
      <c r="G21" s="2" t="inlineStr">
        <is>
          <t>PE</t>
        </is>
      </c>
      <c r="H21" s="2" t="inlineStr">
        <is>
          <t>North Africa / pan-Africa</t>
        </is>
      </c>
      <c r="I21" s="2" t="inlineStr">
        <is>
          <t>various</t>
        </is>
      </c>
      <c r="J21" s="2" t="inlineStr">
        <is>
          <t>Not disclosed publicly</t>
        </is>
      </c>
      <c r="K21" s="2" t="inlineStr">
        <is>
          <t>EUR</t>
        </is>
      </c>
      <c r="L21" s="2" t="inlineStr">
        <is>
          <t>Trade press</t>
        </is>
      </c>
      <c r="M21" s="2" t="inlineStr">
        <is>
          <t>Industry coverage</t>
        </is>
      </c>
      <c r="N21" s="2" t="inlineStr">
        <is>
          <t>M</t>
        </is>
      </c>
      <c r="O21" s="2" t="inlineStr">
        <is>
          <t>CDG has historically been an LP in Mediterrania PE funds focused on Maghreb mid-market.</t>
        </is>
      </c>
      <c r="P21" t="inlineStr">
        <is>
          <t>Private Equity</t>
        </is>
      </c>
      <c r="Q21" t="inlineStr">
        <is>
          <t>Generalist</t>
        </is>
      </c>
      <c r="R21" t="inlineStr">
        <is>
          <t>Fund LP</t>
        </is>
      </c>
      <c r="S21" t="inlineStr">
        <is>
          <t>S029</t>
        </is>
      </c>
    </row>
    <row r="22" ht="23.25" customHeight="1" s="26">
      <c r="A22" s="2" t="inlineStr">
        <is>
          <t>Caisse de Dépôt et de Gestion (CDG)</t>
        </is>
      </c>
      <c r="B22" s="2" t="inlineStr">
        <is>
          <t>Morocco</t>
        </is>
      </c>
      <c r="C22" s="2" t="inlineStr">
        <is>
          <t>Sovereign + pension manager</t>
        </is>
      </c>
      <c r="D22" s="2" t="inlineStr">
        <is>
          <t>Direct equity</t>
        </is>
      </c>
      <c r="E22" s="2" t="n"/>
      <c r="F22" s="2" t="inlineStr">
        <is>
          <t>Retail Holding (food distribution, Morocco + Côte d'Ivoire)</t>
        </is>
      </c>
      <c r="G22" s="2" t="inlineStr">
        <is>
          <t>Direct / Consumer</t>
        </is>
      </c>
      <c r="H22" s="2" t="inlineStr">
        <is>
          <t>Regional</t>
        </is>
      </c>
      <c r="I22" s="2" t="n">
        <v>2024</v>
      </c>
      <c r="J22" s="2" t="inlineStr">
        <is>
          <t>Not disclosed</t>
        </is>
      </c>
      <c r="K22" s="2" t="inlineStr">
        <is>
          <t>USD</t>
        </is>
      </c>
      <c r="L22" s="2" t="inlineStr">
        <is>
          <t>Press release</t>
        </is>
      </c>
      <c r="M22" s="2" t="inlineStr">
        <is>
          <t>IFC announcement 2024</t>
        </is>
      </c>
      <c r="N22" s="2" t="inlineStr">
        <is>
          <t>H</t>
        </is>
      </c>
      <c r="O22" s="2" t="inlineStr">
        <is>
          <t>Joint investment with IFC and Fipar-Holding in retail/food platform.</t>
        </is>
      </c>
      <c r="P22" t="inlineStr">
        <is>
          <t>Direct Equity / Strategic Stake</t>
        </is>
      </c>
      <c r="Q22" t="inlineStr">
        <is>
          <t>Agriculture / Food Security</t>
        </is>
      </c>
      <c r="R22" t="inlineStr">
        <is>
          <t>Direct Investment</t>
        </is>
      </c>
      <c r="S22" t="inlineStr">
        <is>
          <t>S028;S027</t>
        </is>
      </c>
    </row>
    <row r="23" ht="23.25" customHeight="1" s="26">
      <c r="A23" s="2" t="inlineStr">
        <is>
          <t>Ithmar Capital</t>
        </is>
      </c>
      <c r="B23" s="2" t="inlineStr">
        <is>
          <t>Morocco</t>
        </is>
      </c>
      <c r="C23" s="2" t="inlineStr">
        <is>
          <t>SWF (sector-strategic)</t>
        </is>
      </c>
      <c r="D23" s="2" t="inlineStr">
        <is>
          <t>Platform / direct strategic investment vehicle</t>
        </is>
      </c>
      <c r="E23" s="2" t="n"/>
      <c r="F23" s="2" t="inlineStr">
        <is>
          <t>Wessal Capital (SWF joint investment vehicle)</t>
        </is>
      </c>
      <c r="G23" s="2" t="inlineStr">
        <is>
          <t>Direct / real estate / tourism infrastructure</t>
        </is>
      </c>
      <c r="H23" s="2" t="inlineStr">
        <is>
          <t>Domestic</t>
        </is>
      </c>
      <c r="I23" s="2" t="inlineStr">
        <is>
          <t>active</t>
        </is>
      </c>
      <c r="J23" s="2" t="inlineStr">
        <is>
          <t>EUR 2.5bn equity commitment</t>
        </is>
      </c>
      <c r="K23" s="2" t="inlineStr">
        <is>
          <t>USD</t>
        </is>
      </c>
      <c r="L23" s="2" t="inlineStr">
        <is>
          <t>Press release</t>
        </is>
      </c>
      <c r="M23" s="2" t="inlineStr">
        <is>
          <t>Ithmar portfolio: Wessal</t>
        </is>
      </c>
      <c r="N23" s="2" t="inlineStr">
        <is>
          <t>H</t>
        </is>
      </c>
      <c r="O23" s="2" t="inlineStr">
        <is>
          <t>Ithmar describes Wessal as an investment vehicle / joint venture equally owned by five SWFs, not a conventional GP-managed fund. Named projects include Wessal Bouregreg and Wessal Casa-Port.</t>
        </is>
      </c>
      <c r="P23" t="inlineStr">
        <is>
          <t>Direct Equity / Strategic Stake</t>
        </is>
      </c>
      <c r="Q23" t="inlineStr">
        <is>
          <t>Infrastructure; Real Estate / Housing</t>
        </is>
      </c>
      <c r="R23" t="inlineStr">
        <is>
          <t>Platform / Anchor Sponsor</t>
        </is>
      </c>
      <c r="S23" t="inlineStr">
        <is>
          <t>S179</t>
        </is>
      </c>
    </row>
    <row r="24" ht="23.25" customHeight="1" s="26">
      <c r="A24" s="2" t="inlineStr">
        <is>
          <t>Mohammed VI Fund for Investment</t>
        </is>
      </c>
      <c r="B24" s="2" t="inlineStr">
        <is>
          <t>Morocco</t>
        </is>
      </c>
      <c r="C24" s="2" t="inlineStr">
        <is>
          <t>SWF (strategic)</t>
        </is>
      </c>
      <c r="D24" s="2" t="inlineStr">
        <is>
          <t>Fund LP / Anchor</t>
        </is>
      </c>
      <c r="E24" s="2" t="inlineStr">
        <is>
          <t>Multiple Moroccan sectoral GPs</t>
        </is>
      </c>
      <c r="F24" s="2" t="inlineStr">
        <is>
          <t>Sectoral co-investment funds</t>
        </is>
      </c>
      <c r="G24" s="2" t="inlineStr">
        <is>
          <t>Mixed</t>
        </is>
      </c>
      <c r="H24" s="2" t="inlineStr">
        <is>
          <t>Domestic</t>
        </is>
      </c>
      <c r="I24" s="2" t="inlineStr">
        <is>
          <t>active</t>
        </is>
      </c>
      <c r="J24" s="2" t="inlineStr">
        <is>
          <t>MAD 45bn capitalisation</t>
        </is>
      </c>
      <c r="K24" s="2" t="inlineStr">
        <is>
          <t>MAD</t>
        </is>
      </c>
      <c r="L24" s="2" t="inlineStr">
        <is>
          <t>Press release</t>
        </is>
      </c>
      <c r="M24" s="2" t="inlineStr">
        <is>
          <t>Mohammed VI Fund framework</t>
        </is>
      </c>
      <c r="N24" s="2" t="inlineStr">
        <is>
          <t>M</t>
        </is>
      </c>
      <c r="O24" s="2" t="inlineStr">
        <is>
          <t>Newly-capitalised; intended as anchor for Moroccan sectoral funds. FM6I official material supports thematic/sectoral fund platform role; specific fund manager/vehicle rows should be split once selected funds close.</t>
        </is>
      </c>
      <c r="P24" t="inlineStr">
        <is>
          <t>Mixed / Multi-Asset</t>
        </is>
      </c>
      <c r="Q24" t="inlineStr">
        <is>
          <t>Multi-Sector</t>
        </is>
      </c>
      <c r="R24" t="inlineStr">
        <is>
          <t>Platform / Anchor Sponsor</t>
        </is>
      </c>
      <c r="S24" t="inlineStr">
        <is>
          <t>S253</t>
        </is>
      </c>
    </row>
    <row r="25" ht="23.25" customHeight="1" s="26">
      <c r="A25" s="2" t="inlineStr">
        <is>
          <t>Government Institutions Pension Fund (GIPF)</t>
        </is>
      </c>
      <c r="B25" s="2" t="inlineStr">
        <is>
          <t>Namibia</t>
        </is>
      </c>
      <c r="C25" s="2" t="inlineStr">
        <is>
          <t>Public PF</t>
        </is>
      </c>
      <c r="D25" s="2" t="inlineStr">
        <is>
          <t>Fund LP (multiple)</t>
        </is>
      </c>
      <c r="E25" s="2" t="inlineStr">
        <is>
          <t>41 unique fund managers</t>
        </is>
      </c>
      <c r="F25" s="2" t="inlineStr">
        <is>
          <t>77 indirect funds (covering PE, VC, private credit, infra, RE)</t>
        </is>
      </c>
      <c r="G25" s="2" t="inlineStr">
        <is>
          <t>PE / VC / Infra / Private credit / RE</t>
        </is>
      </c>
      <c r="H25" s="2" t="inlineStr">
        <is>
          <t>Mostly Namibia + Africa</t>
        </is>
      </c>
      <c r="I25" s="2" t="inlineStr">
        <is>
          <t>to 30 June 2025</t>
        </is>
      </c>
      <c r="J25" s="2" t="inlineStr">
        <is>
          <t>N$24.9bn committed / N$22.8bn invested</t>
        </is>
      </c>
      <c r="K25" s="2" t="inlineStr">
        <is>
          <t>NAD</t>
        </is>
      </c>
      <c r="L25" s="2" t="inlineStr">
        <is>
          <t>Annual report / NAMFISA filing</t>
        </is>
      </c>
      <c r="M25" s="2" t="inlineStr">
        <is>
          <t>GIPF unlisted-investments disclosures 2024/25</t>
        </is>
      </c>
      <c r="N25" s="2" t="inlineStr">
        <is>
          <t>H</t>
        </is>
      </c>
      <c r="O25" s="2" t="inlineStr">
        <is>
          <t>GIPF Unlisted Investment Policy mandates ~10% PE + 5% RE; 307 underlying companies.</t>
        </is>
      </c>
      <c r="P25" t="inlineStr">
        <is>
          <t>Private Credit</t>
        </is>
      </c>
      <c r="Q25" t="inlineStr">
        <is>
          <t>Infrastructure; Multi-Sector</t>
        </is>
      </c>
      <c r="R25" t="inlineStr">
        <is>
          <t>Fund LP</t>
        </is>
      </c>
      <c r="S25" t="inlineStr">
        <is>
          <t>S007;S218</t>
        </is>
      </c>
    </row>
    <row r="26" ht="23.25" customHeight="1" s="26">
      <c r="A26" s="2" t="inlineStr">
        <is>
          <t>Government Institutions Pension Fund (GIPF)</t>
        </is>
      </c>
      <c r="B26" s="2" t="inlineStr">
        <is>
          <t>Namibia</t>
        </is>
      </c>
      <c r="C26" s="2" t="inlineStr">
        <is>
          <t>Public PF</t>
        </is>
      </c>
      <c r="D26" s="2" t="inlineStr">
        <is>
          <t>Fund LP</t>
        </is>
      </c>
      <c r="E26" s="2" t="inlineStr">
        <is>
          <t>Stimulus Investments</t>
        </is>
      </c>
      <c r="F26" s="2" t="inlineStr">
        <is>
          <t>Stimulus Investments Funds</t>
        </is>
      </c>
      <c r="G26" s="2" t="inlineStr">
        <is>
          <t>PE / Mezz</t>
        </is>
      </c>
      <c r="H26" s="2" t="inlineStr">
        <is>
          <t>Domestic (Namibia)</t>
        </is>
      </c>
      <c r="I26" s="2" t="inlineStr">
        <is>
          <t>multiple vintages</t>
        </is>
      </c>
      <c r="J26" s="2" t="inlineStr">
        <is>
          <t>N$ multiple commitments</t>
        </is>
      </c>
      <c r="K26" s="2" t="inlineStr">
        <is>
          <t>NAD</t>
        </is>
      </c>
      <c r="L26" s="2" t="inlineStr">
        <is>
          <t>GP disclosures + industry knowledge</t>
        </is>
      </c>
      <c r="M26" s="2" t="inlineStr">
        <is>
          <t>Stimulus Investments materials</t>
        </is>
      </c>
      <c r="N26" s="2" t="inlineStr">
        <is>
          <t>H</t>
        </is>
      </c>
      <c r="O26" s="2" t="inlineStr">
        <is>
          <t>Stimulus is a flagship Namibian unlisted manager; GIPF is an anchor LP.</t>
        </is>
      </c>
      <c r="P26" t="inlineStr">
        <is>
          <t>Private Credit</t>
        </is>
      </c>
      <c r="Q26" t="inlineStr">
        <is>
          <t>Generalist</t>
        </is>
      </c>
      <c r="R26" t="inlineStr">
        <is>
          <t>Fund LP</t>
        </is>
      </c>
      <c r="S26" t="inlineStr">
        <is>
          <t>S007;S218</t>
        </is>
      </c>
    </row>
    <row r="27" ht="23.25" customHeight="1" s="26">
      <c r="A27" s="2" t="inlineStr">
        <is>
          <t>Government Institutions Pension Fund (GIPF)</t>
        </is>
      </c>
      <c r="B27" s="2" t="inlineStr">
        <is>
          <t>Namibia</t>
        </is>
      </c>
      <c r="C27" s="2" t="inlineStr">
        <is>
          <t>Public PF</t>
        </is>
      </c>
      <c r="D27" s="2" t="inlineStr">
        <is>
          <t>Fund LP</t>
        </is>
      </c>
      <c r="E27" s="2" t="inlineStr">
        <is>
          <t>Eos Capital</t>
        </is>
      </c>
      <c r="F27" s="2" t="inlineStr">
        <is>
          <t>Eos Capital funds (Allegrow, Euphrates, etc.)</t>
        </is>
      </c>
      <c r="G27" s="2" t="inlineStr">
        <is>
          <t>PE</t>
        </is>
      </c>
      <c r="H27" s="2" t="inlineStr">
        <is>
          <t>Domestic (Namibia)</t>
        </is>
      </c>
      <c r="I27" s="2" t="inlineStr">
        <is>
          <t>multiple vintages</t>
        </is>
      </c>
      <c r="J27" s="2" t="inlineStr">
        <is>
          <t>N$ multiple commitments</t>
        </is>
      </c>
      <c r="K27" s="2" t="inlineStr">
        <is>
          <t>NAD</t>
        </is>
      </c>
      <c r="L27" s="2" t="inlineStr">
        <is>
          <t>GP disclosures</t>
        </is>
      </c>
      <c r="M27" s="2" t="inlineStr">
        <is>
          <t>Eos Capital materials</t>
        </is>
      </c>
      <c r="N27" s="2" t="inlineStr">
        <is>
          <t>H</t>
        </is>
      </c>
      <c r="O27" s="2" t="inlineStr">
        <is>
          <t>Eos manages multiple unlisted funds anchored by GIPF.</t>
        </is>
      </c>
      <c r="P27" t="inlineStr">
        <is>
          <t>Private Equity</t>
        </is>
      </c>
      <c r="Q27" t="inlineStr">
        <is>
          <t>Multi-Sector</t>
        </is>
      </c>
      <c r="R27" t="inlineStr">
        <is>
          <t>Fund LP</t>
        </is>
      </c>
      <c r="S27" t="inlineStr">
        <is>
          <t>S218</t>
        </is>
      </c>
    </row>
    <row r="28" ht="15" customHeight="1" s="26">
      <c r="A28" s="2" t="inlineStr">
        <is>
          <t>Government Institutions Pension Fund (GIPF)</t>
        </is>
      </c>
      <c r="B28" s="2" t="inlineStr">
        <is>
          <t>Namibia</t>
        </is>
      </c>
      <c r="C28" s="2" t="inlineStr">
        <is>
          <t>Public PF</t>
        </is>
      </c>
      <c r="D28" s="2" t="inlineStr">
        <is>
          <t>Fund LP</t>
        </is>
      </c>
      <c r="E28" s="2" t="inlineStr">
        <is>
          <t>Old Mutual Investment Group Namibia</t>
        </is>
      </c>
      <c r="F28" s="2" t="inlineStr">
        <is>
          <t>OMIGNAM unlisted programmes</t>
        </is>
      </c>
      <c r="G28" s="2" t="inlineStr">
        <is>
          <t>PE / Infrastructure</t>
        </is>
      </c>
      <c r="H28" s="2" t="inlineStr">
        <is>
          <t>Domestic (Namibia)</t>
        </is>
      </c>
      <c r="I28" s="2" t="inlineStr">
        <is>
          <t>multiple</t>
        </is>
      </c>
      <c r="J28" s="2" t="inlineStr">
        <is>
          <t>Not separately disclosed</t>
        </is>
      </c>
      <c r="K28" s="2" t="inlineStr">
        <is>
          <t>NAD</t>
        </is>
      </c>
      <c r="L28" s="2" t="inlineStr">
        <is>
          <t>GP disclosures</t>
        </is>
      </c>
      <c r="M28" s="2" t="inlineStr">
        <is>
          <t>OMIGNAM materials</t>
        </is>
      </c>
      <c r="N28" s="2" t="inlineStr">
        <is>
          <t>H</t>
        </is>
      </c>
      <c r="O28" s="2" t="n"/>
      <c r="P28" t="inlineStr">
        <is>
          <t>Real Assets / Infrastructure Equity</t>
        </is>
      </c>
      <c r="Q28" t="inlineStr">
        <is>
          <t>Infrastructure</t>
        </is>
      </c>
      <c r="R28" t="inlineStr">
        <is>
          <t>Fund LP</t>
        </is>
      </c>
      <c r="S28" t="inlineStr">
        <is>
          <t>S218</t>
        </is>
      </c>
    </row>
    <row r="29" ht="23.25" customHeight="1" s="26">
      <c r="A29" s="2" t="inlineStr">
        <is>
          <t>Government Institutions Pension Fund (GIPF)</t>
        </is>
      </c>
      <c r="B29" s="2" t="inlineStr">
        <is>
          <t>Namibia</t>
        </is>
      </c>
      <c r="C29" s="2" t="inlineStr">
        <is>
          <t>Public PF</t>
        </is>
      </c>
      <c r="D29" s="2" t="inlineStr">
        <is>
          <t>Direct equity</t>
        </is>
      </c>
      <c r="E29" s="2" t="n"/>
      <c r="F29" s="2" t="inlineStr">
        <is>
          <t>Housing financing programme</t>
        </is>
      </c>
      <c r="G29" s="2" t="inlineStr">
        <is>
          <t>Direct / Housing infrastructure</t>
        </is>
      </c>
      <c r="H29" s="2" t="inlineStr">
        <is>
          <t>Domestic</t>
        </is>
      </c>
      <c r="I29" s="2" t="inlineStr">
        <is>
          <t>ongoing</t>
        </is>
      </c>
      <c r="J29" s="2" t="inlineStr">
        <is>
          <t>N$900m valued</t>
        </is>
      </c>
      <c r="K29" s="2" t="inlineStr">
        <is>
          <t>NAD</t>
        </is>
      </c>
      <c r="L29" s="2" t="inlineStr">
        <is>
          <t>Annual report</t>
        </is>
      </c>
      <c r="M29" s="2" t="inlineStr">
        <is>
          <t>GIPF disclosures</t>
        </is>
      </c>
      <c r="N29" s="2" t="inlineStr">
        <is>
          <t>H</t>
        </is>
      </c>
      <c r="O29" s="2" t="inlineStr">
        <is>
          <t>Domestic housing facility — a developmental-investment direct programme.</t>
        </is>
      </c>
      <c r="P29" t="inlineStr">
        <is>
          <t>Direct Equity / Strategic Stake</t>
        </is>
      </c>
      <c r="Q29" t="inlineStr">
        <is>
          <t>Infrastructure; Real Estate / Housing</t>
        </is>
      </c>
      <c r="R29" t="inlineStr">
        <is>
          <t>Direct Investment</t>
        </is>
      </c>
      <c r="S29" t="inlineStr">
        <is>
          <t>S218</t>
        </is>
      </c>
    </row>
    <row r="30" ht="23.25" customHeight="1" s="26">
      <c r="A30" s="2" t="inlineStr">
        <is>
          <t>Botswana Public Officers Pension Fund (BPOPF)</t>
        </is>
      </c>
      <c r="B30" s="2" t="inlineStr">
        <is>
          <t>Botswana</t>
        </is>
      </c>
      <c r="C30" s="2" t="inlineStr">
        <is>
          <t>Public PF</t>
        </is>
      </c>
      <c r="D30" s="2" t="inlineStr">
        <is>
          <t>Fund LP</t>
        </is>
      </c>
      <c r="E30" s="2" t="inlineStr">
        <is>
          <t>Aleyo Capital</t>
        </is>
      </c>
      <c r="F30" s="2" t="inlineStr">
        <is>
          <t>Aleyo Capital Fund I</t>
        </is>
      </c>
      <c r="G30" s="2" t="inlineStr">
        <is>
          <t>PE</t>
        </is>
      </c>
      <c r="H30" s="2" t="inlineStr">
        <is>
          <t>Domestic</t>
        </is>
      </c>
      <c r="I30" s="2" t="n">
        <v>2017</v>
      </c>
      <c r="J30" s="2" t="inlineStr">
        <is>
          <t>BWP 500m (USD ~43m)</t>
        </is>
      </c>
      <c r="K30" s="2" t="inlineStr">
        <is>
          <t>BWP</t>
        </is>
      </c>
      <c r="L30" s="2" t="inlineStr">
        <is>
          <t>Press release</t>
        </is>
      </c>
      <c r="M30" s="2" t="inlineStr">
        <is>
          <t>BPOPF private equity incubation programme</t>
        </is>
      </c>
      <c r="N30" s="2" t="inlineStr">
        <is>
          <t>H</t>
        </is>
      </c>
      <c r="O30" s="2" t="inlineStr">
        <is>
          <t>Part of BPOPF's domestic PE incubation programme.</t>
        </is>
      </c>
      <c r="P30" t="inlineStr">
        <is>
          <t>Private Equity</t>
        </is>
      </c>
      <c r="Q30" t="inlineStr">
        <is>
          <t>Generalist</t>
        </is>
      </c>
      <c r="R30" t="inlineStr">
        <is>
          <t>Fund LP</t>
        </is>
      </c>
      <c r="S30" t="inlineStr">
        <is>
          <t>S017;S018</t>
        </is>
      </c>
    </row>
    <row r="31" ht="23.25" customHeight="1" s="26">
      <c r="A31" s="2" t="inlineStr">
        <is>
          <t>Botswana Public Officers Pension Fund (BPOPF)</t>
        </is>
      </c>
      <c r="B31" s="2" t="inlineStr">
        <is>
          <t>Botswana</t>
        </is>
      </c>
      <c r="C31" s="2" t="inlineStr">
        <is>
          <t>Public PF</t>
        </is>
      </c>
      <c r="D31" s="2" t="inlineStr">
        <is>
          <t>Fund LP</t>
        </is>
      </c>
      <c r="E31" s="2" t="inlineStr">
        <is>
          <t>Africa Lighthouse Capital</t>
        </is>
      </c>
      <c r="F31" s="2" t="inlineStr">
        <is>
          <t>Africa Lighthouse Capital Fund I</t>
        </is>
      </c>
      <c r="G31" s="2" t="inlineStr">
        <is>
          <t>PE</t>
        </is>
      </c>
      <c r="H31" s="2" t="inlineStr">
        <is>
          <t>Domestic + regional</t>
        </is>
      </c>
      <c r="I31" s="2" t="n">
        <v>2017</v>
      </c>
      <c r="J31" s="2" t="inlineStr">
        <is>
          <t>BWP 500m (USD ~43m)</t>
        </is>
      </c>
      <c r="K31" s="2" t="inlineStr">
        <is>
          <t>BWP</t>
        </is>
      </c>
      <c r="L31" s="2" t="inlineStr">
        <is>
          <t>Press release</t>
        </is>
      </c>
      <c r="M31" s="2" t="inlineStr">
        <is>
          <t>BPOPF private equity incubation programme</t>
        </is>
      </c>
      <c r="N31" s="2" t="inlineStr">
        <is>
          <t>H</t>
        </is>
      </c>
      <c r="O31" s="2" t="inlineStr">
        <is>
          <t>Part of BPOPF's incubation programme; anchor LP.</t>
        </is>
      </c>
      <c r="P31" t="inlineStr">
        <is>
          <t>Private Equity</t>
        </is>
      </c>
      <c r="Q31" t="inlineStr">
        <is>
          <t>Generalist</t>
        </is>
      </c>
      <c r="R31" t="inlineStr">
        <is>
          <t>Fund LP</t>
        </is>
      </c>
      <c r="S31" t="inlineStr">
        <is>
          <t>S017;S018</t>
        </is>
      </c>
    </row>
    <row r="32" ht="23.25" customHeight="1" s="26">
      <c r="A32" s="2" t="inlineStr">
        <is>
          <t>Botswana Public Officers Pension Fund (BPOPF)</t>
        </is>
      </c>
      <c r="B32" s="2" t="inlineStr">
        <is>
          <t>Botswana</t>
        </is>
      </c>
      <c r="C32" s="2" t="inlineStr">
        <is>
          <t>Public PF</t>
        </is>
      </c>
      <c r="D32" s="2" t="inlineStr">
        <is>
          <t>Fund LP</t>
        </is>
      </c>
      <c r="E32" s="2" t="inlineStr">
        <is>
          <t>Vantage Capital</t>
        </is>
      </c>
      <c r="F32" s="2" t="inlineStr">
        <is>
          <t>Vantage Capital Mezzanine funds</t>
        </is>
      </c>
      <c r="G32" s="2" t="inlineStr">
        <is>
          <t>Private credit / Mezz</t>
        </is>
      </c>
      <c r="H32" s="2" t="inlineStr">
        <is>
          <t>Pan-Africa</t>
        </is>
      </c>
      <c r="I32" s="2" t="inlineStr">
        <is>
          <t>various</t>
        </is>
      </c>
      <c r="J32" s="2" t="inlineStr">
        <is>
          <t>Not disclosed publicly</t>
        </is>
      </c>
      <c r="K32" s="2" t="inlineStr">
        <is>
          <t>USD</t>
        </is>
      </c>
      <c r="L32" s="2" t="inlineStr">
        <is>
          <t>Trade press</t>
        </is>
      </c>
      <c r="M32" s="2" t="inlineStr">
        <is>
          <t>Industry reporting</t>
        </is>
      </c>
      <c r="N32" s="2" t="inlineStr">
        <is>
          <t>M</t>
        </is>
      </c>
      <c r="O32" s="2" t="inlineStr">
        <is>
          <t>Disclosed in industry sources; sizes not public.</t>
        </is>
      </c>
      <c r="P32" t="inlineStr">
        <is>
          <t>Private Credit</t>
        </is>
      </c>
      <c r="Q32" t="inlineStr">
        <is>
          <t>Generalist</t>
        </is>
      </c>
      <c r="R32" t="inlineStr">
        <is>
          <t>Fund LP</t>
        </is>
      </c>
      <c r="S32" t="inlineStr">
        <is>
          <t>S017;S128;S127</t>
        </is>
      </c>
    </row>
    <row r="33" ht="23.25" customHeight="1" s="26">
      <c r="A33" s="2" t="inlineStr">
        <is>
          <t>Botswana Public Officers Pension Fund (BPOPF)</t>
        </is>
      </c>
      <c r="B33" s="2" t="inlineStr">
        <is>
          <t>Botswana</t>
        </is>
      </c>
      <c r="C33" s="2" t="inlineStr">
        <is>
          <t>Public PF</t>
        </is>
      </c>
      <c r="D33" s="2" t="inlineStr">
        <is>
          <t>Fund LP</t>
        </is>
      </c>
      <c r="E33" s="2" t="inlineStr">
        <is>
          <t>Multiple SA + pan-Africa GPs</t>
        </is>
      </c>
      <c r="F33" s="2" t="inlineStr">
        <is>
          <t>Various</t>
        </is>
      </c>
      <c r="G33" s="2" t="inlineStr">
        <is>
          <t>PE / Infrastructure</t>
        </is>
      </c>
      <c r="H33" s="2" t="inlineStr">
        <is>
          <t>Pan-Africa</t>
        </is>
      </c>
      <c r="I33" s="2" t="inlineStr">
        <is>
          <t>ongoing</t>
        </is>
      </c>
      <c r="J33" s="2" t="inlineStr">
        <is>
          <t>~10% of AUM target</t>
        </is>
      </c>
      <c r="K33" s="2" t="inlineStr">
        <is>
          <t>BWP</t>
        </is>
      </c>
      <c r="L33" s="2" t="inlineStr">
        <is>
          <t>BPOPF investments page</t>
        </is>
      </c>
      <c r="M33" s="2" t="inlineStr">
        <is>
          <t>BPOPF disclosures</t>
        </is>
      </c>
      <c r="N33" s="2" t="inlineStr">
        <is>
          <t>H</t>
        </is>
      </c>
      <c r="O33" s="2" t="inlineStr">
        <is>
          <t>BPOPF targets ~10% in alternatives including PE, infra, RE.</t>
        </is>
      </c>
      <c r="P33" t="inlineStr">
        <is>
          <t>Real Assets / Infrastructure Equity</t>
        </is>
      </c>
      <c r="Q33" t="inlineStr">
        <is>
          <t>Infrastructure; Multi-Sector</t>
        </is>
      </c>
      <c r="R33" t="inlineStr">
        <is>
          <t>Fund LP</t>
        </is>
      </c>
      <c r="S33" t="inlineStr">
        <is>
          <t>S017</t>
        </is>
      </c>
    </row>
    <row r="34" ht="23.25" customHeight="1" s="26">
      <c r="A34" s="2" t="inlineStr">
        <is>
          <t>NSSF Uganda</t>
        </is>
      </c>
      <c r="B34" s="2" t="inlineStr">
        <is>
          <t>Uganda</t>
        </is>
      </c>
      <c r="C34" s="2" t="inlineStr">
        <is>
          <t>Public PF</t>
        </is>
      </c>
      <c r="D34" s="2" t="inlineStr">
        <is>
          <t>Fund LP</t>
        </is>
      </c>
      <c r="E34" s="2" t="inlineStr">
        <is>
          <t>Pearl Capital Partners</t>
        </is>
      </c>
      <c r="F34" s="2" t="inlineStr">
        <is>
          <t>Yield Uganda Investment Fund</t>
        </is>
      </c>
      <c r="G34" s="2" t="inlineStr">
        <is>
          <t>PE / Agribusiness</t>
        </is>
      </c>
      <c r="H34" s="2" t="inlineStr">
        <is>
          <t>Domestic</t>
        </is>
      </c>
      <c r="I34" s="2" t="n">
        <v>2017</v>
      </c>
      <c r="J34" s="2" t="inlineStr">
        <is>
          <t>EUR ~2m founding (NSSF actually 2m, not 12m as initially recorded; 12m was total first close incl. EU/IFAD 10m)</t>
        </is>
      </c>
      <c r="K34" s="2" t="inlineStr">
        <is>
          <t>EUR</t>
        </is>
      </c>
      <c r="L34" s="2" t="inlineStr">
        <is>
          <t>Press release / annual report</t>
        </is>
      </c>
      <c r="M34" s="2" t="inlineStr">
        <is>
          <t>Yield Uganda Investment Fund disclosures</t>
        </is>
      </c>
      <c r="N34" s="2" t="inlineStr">
        <is>
          <t>H</t>
        </is>
      </c>
      <c r="O34" s="2" t="inlineStr">
        <is>
          <t>NSSF Uganda was a founding LP alongside EU and IFAD; fund now at EUR 20m total commitments. [CORRECTED in Phase 6: NSSF Uganda's actual founding ticket was EUR 2m, alongside EUR 10m from EU/IFAD, for the EUR 12m total first close. Fund subsequently grew to EUR 20m via FCA Investments + Soros Economic Development Fund.]</t>
        </is>
      </c>
      <c r="P34" t="inlineStr">
        <is>
          <t>Private Equity</t>
        </is>
      </c>
      <c r="Q34" t="inlineStr">
        <is>
          <t>Agriculture / Food Security</t>
        </is>
      </c>
      <c r="R34" t="inlineStr">
        <is>
          <t>Fund LP</t>
        </is>
      </c>
      <c r="S34" t="inlineStr">
        <is>
          <t>S014;S143;S144</t>
        </is>
      </c>
    </row>
    <row r="35" ht="23.25" customHeight="1" s="26">
      <c r="A35" s="2" t="inlineStr">
        <is>
          <t>NSSF Uganda</t>
        </is>
      </c>
      <c r="B35" s="2" t="inlineStr">
        <is>
          <t>Uganda</t>
        </is>
      </c>
      <c r="C35" s="2" t="inlineStr">
        <is>
          <t>Public PF</t>
        </is>
      </c>
      <c r="D35" s="2" t="inlineStr">
        <is>
          <t>Direct / Multiple</t>
        </is>
      </c>
      <c r="E35" s="2" t="n"/>
      <c r="F35" s="2" t="inlineStr">
        <is>
          <t>~20% alternatives portfolio (mostly RE, growing infra/PE)</t>
        </is>
      </c>
      <c r="G35" s="2" t="inlineStr">
        <is>
          <t>Mixed</t>
        </is>
      </c>
      <c r="H35" s="2" t="inlineStr">
        <is>
          <t>Domestic + EAC</t>
        </is>
      </c>
      <c r="I35" s="2" t="inlineStr">
        <is>
          <t>ongoing</t>
        </is>
      </c>
      <c r="J35" s="2" t="inlineStr">
        <is>
          <t>~USh5.2tn (20% of USh26tn AUM)</t>
        </is>
      </c>
      <c r="K35" s="2" t="inlineStr">
        <is>
          <t>UGX</t>
        </is>
      </c>
      <c r="L35" s="2" t="inlineStr">
        <is>
          <t>Annual report</t>
        </is>
      </c>
      <c r="M35" s="2" t="inlineStr">
        <is>
          <t>NSSF Uganda Integrated Report</t>
        </is>
      </c>
      <c r="N35" s="2" t="inlineStr">
        <is>
          <t>H</t>
        </is>
      </c>
      <c r="O35" s="2" t="inlineStr">
        <is>
          <t>NSSF Uganda discloses ~20% alts; real estate dominant historically, infra/PE growing.</t>
        </is>
      </c>
      <c r="P35" t="inlineStr">
        <is>
          <t>Direct Equity / Strategic Stake</t>
        </is>
      </c>
      <c r="Q35" t="inlineStr">
        <is>
          <t>Infrastructure; Real Estate / Housing; Multi-Sector</t>
        </is>
      </c>
      <c r="R35" t="inlineStr">
        <is>
          <t>Direct Investment</t>
        </is>
      </c>
      <c r="S35" t="inlineStr">
        <is>
          <t>S013;S074;S012</t>
        </is>
      </c>
    </row>
    <row r="36" ht="23.25" customHeight="1" s="26">
      <c r="A36" s="2" t="inlineStr">
        <is>
          <t>NSSF Uganda</t>
        </is>
      </c>
      <c r="B36" s="2" t="inlineStr">
        <is>
          <t>Uganda</t>
        </is>
      </c>
      <c r="C36" s="2" t="inlineStr">
        <is>
          <t>Public PF</t>
        </is>
      </c>
      <c r="D36" s="2" t="inlineStr">
        <is>
          <t>Fund LP</t>
        </is>
      </c>
      <c r="E36" s="2" t="inlineStr">
        <is>
          <t>Catalyst Principal Partners (historical)</t>
        </is>
      </c>
      <c r="F36" s="2" t="inlineStr">
        <is>
          <t>Catalyst Fund II</t>
        </is>
      </c>
      <c r="G36" s="2" t="inlineStr">
        <is>
          <t>PE</t>
        </is>
      </c>
      <c r="H36" s="2" t="inlineStr">
        <is>
          <t>East Africa</t>
        </is>
      </c>
      <c r="I36" s="2" t="n">
        <v>2017</v>
      </c>
      <c r="J36" s="2" t="inlineStr">
        <is>
          <t>Not separately disclosed</t>
        </is>
      </c>
      <c r="K36" s="2" t="inlineStr">
        <is>
          <t>USD</t>
        </is>
      </c>
      <c r="L36" s="2" t="inlineStr">
        <is>
          <t>Trade press</t>
        </is>
      </c>
      <c r="M36" s="2" t="inlineStr">
        <is>
          <t>AVCA fund close coverage</t>
        </is>
      </c>
      <c r="N36" s="2" t="inlineStr">
        <is>
          <t>M</t>
        </is>
      </c>
      <c r="O36" s="2" t="inlineStr">
        <is>
          <t>Reported among Catalyst II's LPs.</t>
        </is>
      </c>
      <c r="P36" t="inlineStr">
        <is>
          <t>Private Equity</t>
        </is>
      </c>
      <c r="Q36" t="inlineStr">
        <is>
          <t>Infrastructure</t>
        </is>
      </c>
      <c r="R36" t="inlineStr">
        <is>
          <t>Fund LP</t>
        </is>
      </c>
      <c r="S36" t="inlineStr">
        <is>
          <t>S102;S101</t>
        </is>
      </c>
    </row>
    <row r="37" ht="23.25" customHeight="1" s="26">
      <c r="A37" s="2" t="inlineStr">
        <is>
          <t>Fundo Soberano de Angola (FSDEA)</t>
        </is>
      </c>
      <c r="B37" s="2" t="inlineStr">
        <is>
          <t>Angola</t>
        </is>
      </c>
      <c r="C37" s="2" t="inlineStr">
        <is>
          <t>SWF</t>
        </is>
      </c>
      <c r="D37" s="2" t="inlineStr">
        <is>
          <t>Platform / Anchor</t>
        </is>
      </c>
      <c r="E37" s="2" t="inlineStr">
        <is>
          <t>Gemcorp Capital</t>
        </is>
      </c>
      <c r="F37" s="2" t="inlineStr">
        <is>
          <t>Gemcorp-FSDEA Pan-African Infrastructure Fund</t>
        </is>
      </c>
      <c r="G37" s="2" t="inlineStr">
        <is>
          <t>Infrastructure</t>
        </is>
      </c>
      <c r="H37" s="2" t="inlineStr">
        <is>
          <t>Pan-Africa</t>
        </is>
      </c>
      <c r="I37" s="2" t="n">
        <v>2025</v>
      </c>
      <c r="J37" s="2" t="inlineStr">
        <is>
          <t>USD 50m initial (up to USD 200m); fund target USD 500m</t>
        </is>
      </c>
      <c r="K37" s="2" t="inlineStr">
        <is>
          <t>USD</t>
        </is>
      </c>
      <c r="L37" s="2" t="inlineStr">
        <is>
          <t>Press release</t>
        </is>
      </c>
      <c r="M37" s="2" t="inlineStr">
        <is>
          <t>AltAssets reporting</t>
        </is>
      </c>
      <c r="N37" s="2" t="inlineStr">
        <is>
          <t>H</t>
        </is>
      </c>
      <c r="O37" s="2" t="inlineStr">
        <is>
          <t>Joint pan-African infra fund announced 9 December 2025. FSDEA seeds with USD 50m (rising to USD 200m subject to conditions); Gemcorp commits up to USD 50m. Fund targets critical minerals, water, food security, energy transition across Africa. Domiciled in Abu Dhabi to tap Gulf institutional capital. Kassai asset management (Walter Pacheco, former Bodiva CEO) launched in late 2025 to mobilise complementary Angolan capital.</t>
        </is>
      </c>
      <c r="P37" t="inlineStr">
        <is>
          <t>Platform / Holding Company</t>
        </is>
      </c>
      <c r="Q37" t="inlineStr">
        <is>
          <t>Infrastructure</t>
        </is>
      </c>
      <c r="R37" t="inlineStr">
        <is>
          <t>Platform / Anchor Sponsor</t>
        </is>
      </c>
      <c r="S37" t="inlineStr">
        <is>
          <t>S019;S206</t>
        </is>
      </c>
    </row>
    <row r="38" ht="23.25" customHeight="1" s="26">
      <c r="A38" s="2" t="inlineStr">
        <is>
          <t>Fundo Soberano de Angola (FSDEA)</t>
        </is>
      </c>
      <c r="B38" s="2" t="inlineStr">
        <is>
          <t>Angola</t>
        </is>
      </c>
      <c r="C38" s="2" t="inlineStr">
        <is>
          <t>SWF</t>
        </is>
      </c>
      <c r="D38" s="2" t="inlineStr">
        <is>
          <t>Direct / Co-invest</t>
        </is>
      </c>
      <c r="E38" s="2" t="n"/>
      <c r="F38" s="2" t="inlineStr">
        <is>
          <t>Lobito Corridor partnership</t>
        </is>
      </c>
      <c r="G38" s="2" t="inlineStr">
        <is>
          <t>Direct / Infrastructure</t>
        </is>
      </c>
      <c r="H38" s="2" t="inlineStr">
        <is>
          <t>Regional (Angola-Zambia-DRC)</t>
        </is>
      </c>
      <c r="I38" s="2" t="n">
        <v>2024</v>
      </c>
      <c r="J38" s="2" t="inlineStr">
        <is>
          <t>USD 1bn partnership</t>
        </is>
      </c>
      <c r="K38" s="2" t="inlineStr">
        <is>
          <t>USD</t>
        </is>
      </c>
      <c r="L38" s="2" t="inlineStr">
        <is>
          <t>Press release</t>
        </is>
      </c>
      <c r="M38" s="2" t="inlineStr">
        <is>
          <t>Lobito Corridor announcement</t>
        </is>
      </c>
      <c r="N38" s="2" t="inlineStr">
        <is>
          <t>H</t>
        </is>
      </c>
      <c r="O38" s="2" t="inlineStr">
        <is>
          <t>Multi-party rail-and-port infrastructure development. FSDEA source supports strategic-plan/Lobito platform context, but not a discrete closed commitment; consider Pipeline/Reference unless transaction evidence is found.</t>
        </is>
      </c>
      <c r="P38" t="inlineStr">
        <is>
          <t>Direct Equity / Strategic Stake</t>
        </is>
      </c>
      <c r="Q38" t="inlineStr">
        <is>
          <t>Infrastructure</t>
        </is>
      </c>
      <c r="R38" t="inlineStr">
        <is>
          <t>Direct Investment</t>
        </is>
      </c>
      <c r="S38" t="inlineStr">
        <is>
          <t>S254</t>
        </is>
      </c>
    </row>
    <row r="39" ht="23.25" customHeight="1" s="26">
      <c r="A39" s="2" t="inlineStr">
        <is>
          <t>Fundo Soberano de Angola (FSDEA)</t>
        </is>
      </c>
      <c r="B39" s="2" t="inlineStr">
        <is>
          <t>Angola</t>
        </is>
      </c>
      <c r="C39" s="2" t="inlineStr">
        <is>
          <t>SWF</t>
        </is>
      </c>
      <c r="D39" s="2" t="inlineStr">
        <is>
          <t>Fund LP (multi)</t>
        </is>
      </c>
      <c r="E39" s="2" t="inlineStr">
        <is>
          <t>Various</t>
        </is>
      </c>
      <c r="F39" s="2" t="inlineStr">
        <is>
          <t>Diversified portfolio incl. private equity funds</t>
        </is>
      </c>
      <c r="G39" s="2" t="inlineStr">
        <is>
          <t>PE / Mixed</t>
        </is>
      </c>
      <c r="H39" s="2" t="inlineStr">
        <is>
          <t>Global + Africa</t>
        </is>
      </c>
      <c r="I39" s="2" t="inlineStr">
        <is>
          <t>ongoing</t>
        </is>
      </c>
      <c r="J39" s="2" t="inlineStr">
        <is>
          <t>Part of USD 3.9bn AUM (Dec 2024)</t>
        </is>
      </c>
      <c r="K39" s="2" t="inlineStr">
        <is>
          <t>USD</t>
        </is>
      </c>
      <c r="L39" s="2" t="inlineStr">
        <is>
          <t>Annual report</t>
        </is>
      </c>
      <c r="M39" s="2" t="inlineStr">
        <is>
          <t>FSDEA / IFSWF disclosures</t>
        </is>
      </c>
      <c r="N39" s="2" t="inlineStr">
        <is>
          <t>M</t>
        </is>
      </c>
      <c r="O39" s="2" t="inlineStr">
        <is>
          <t>FSDEA portfolio includes PE funds among other asset classes; per-fund detail not publicly disclosed.</t>
        </is>
      </c>
      <c r="P39" t="inlineStr">
        <is>
          <t>Mixed / Multi-Asset</t>
        </is>
      </c>
      <c r="Q39" t="inlineStr">
        <is>
          <t>Infrastructure; Multi-Sector</t>
        </is>
      </c>
      <c r="R39" t="inlineStr">
        <is>
          <t>Fund LP</t>
        </is>
      </c>
      <c r="S39" t="inlineStr">
        <is>
          <t>S021;S020</t>
        </is>
      </c>
    </row>
    <row r="40" ht="23.25" customHeight="1" s="26">
      <c r="A40" s="2" t="inlineStr">
        <is>
          <t>FONSIS</t>
        </is>
      </c>
      <c r="B40" s="2" t="inlineStr">
        <is>
          <t>Senegal</t>
        </is>
      </c>
      <c r="C40" s="2" t="inlineStr">
        <is>
          <t>SWF (strategic)</t>
        </is>
      </c>
      <c r="D40" s="2" t="inlineStr">
        <is>
          <t>Fund LP / sponsor</t>
        </is>
      </c>
      <c r="E40" s="2" t="inlineStr">
        <is>
          <t>SEAF (Small Enterprise Assistance Funds)</t>
        </is>
      </c>
      <c r="F40" s="2" t="inlineStr">
        <is>
          <t>Oyass Capital (SME fund)</t>
        </is>
      </c>
      <c r="G40" s="2" t="inlineStr">
        <is>
          <t>PE / SME</t>
        </is>
      </c>
      <c r="H40" s="2" t="inlineStr">
        <is>
          <t>Domestic</t>
        </is>
      </c>
      <c r="I40" s="2" t="n">
        <v>2024</v>
      </c>
      <c r="J40" s="2" t="inlineStr">
        <is>
          <t>XOF 50bn (~USD 82m)</t>
        </is>
      </c>
      <c r="K40" s="2" t="inlineStr">
        <is>
          <t>XOF</t>
        </is>
      </c>
      <c r="L40" s="2" t="inlineStr">
        <is>
          <t>Press release</t>
        </is>
      </c>
      <c r="M40" s="2" t="inlineStr">
        <is>
          <t>FONSIS announcement Jan 2024</t>
        </is>
      </c>
      <c r="N40" s="2" t="inlineStr">
        <is>
          <t>H</t>
        </is>
      </c>
      <c r="O40" s="2" t="inlineStr">
        <is>
          <t>FONSIS and KfW/World Bank launched Oyass Capital as an SME-focused private-equity fund/financing vehicle; FONSIS says SEAF received the management mandate after an international tender.</t>
        </is>
      </c>
      <c r="P40" t="inlineStr">
        <is>
          <t>Private Equity</t>
        </is>
      </c>
      <c r="Q40" t="inlineStr">
        <is>
          <t>SME Finance; Financial Inclusion / Financial Services</t>
        </is>
      </c>
      <c r="R40" t="inlineStr">
        <is>
          <t>Platform / Anchor Sponsor</t>
        </is>
      </c>
      <c r="S40" t="inlineStr">
        <is>
          <t>S025</t>
        </is>
      </c>
    </row>
    <row r="41" ht="23.25" customHeight="1" s="26">
      <c r="A41" s="2" t="inlineStr">
        <is>
          <t>FONSIS</t>
        </is>
      </c>
      <c r="B41" s="2" t="inlineStr">
        <is>
          <t>Senegal</t>
        </is>
      </c>
      <c r="C41" s="2" t="inlineStr">
        <is>
          <t>SWF (strategic)</t>
        </is>
      </c>
      <c r="D41" s="2" t="inlineStr">
        <is>
          <t>Direct / Co-invest</t>
        </is>
      </c>
      <c r="E41" s="2" t="n"/>
      <c r="F41" s="2" t="inlineStr">
        <is>
          <t>Strategic projects portfolio (Teyliom Industries, agribusiness, hospitality)</t>
        </is>
      </c>
      <c r="G41" s="2" t="inlineStr">
        <is>
          <t>Direct</t>
        </is>
      </c>
      <c r="H41" s="2" t="inlineStr">
        <is>
          <t>Domestic</t>
        </is>
      </c>
      <c r="I41" s="2" t="inlineStr">
        <is>
          <t>ongoing</t>
        </is>
      </c>
      <c r="J41" s="2" t="inlineStr">
        <is>
          <t>Not separately disclosed</t>
        </is>
      </c>
      <c r="K41" s="2" t="inlineStr">
        <is>
          <t>XOF</t>
        </is>
      </c>
      <c r="L41" s="2" t="inlineStr">
        <is>
          <t>FONSIS annual report</t>
        </is>
      </c>
      <c r="M41" s="2" t="inlineStr">
        <is>
          <t>FONSIS portfolio disclosures</t>
        </is>
      </c>
      <c r="N41" s="2" t="inlineStr">
        <is>
          <t>H</t>
        </is>
      </c>
      <c r="O41" s="2" t="inlineStr">
        <is>
          <t>FONSIS's primary mandate is direct strategic investment in Senegalese transformational projects.</t>
        </is>
      </c>
      <c r="P41" t="inlineStr">
        <is>
          <t>Direct Equity / Strategic Stake</t>
        </is>
      </c>
      <c r="Q41" t="inlineStr">
        <is>
          <t>Infrastructure; Agriculture / Food Security; Multi-Sector</t>
        </is>
      </c>
      <c r="R41" t="inlineStr">
        <is>
          <t>Direct Investment</t>
        </is>
      </c>
      <c r="S41" t="inlineStr">
        <is>
          <t>S026</t>
        </is>
      </c>
    </row>
    <row r="42" ht="23.25" customHeight="1" s="26">
      <c r="A42" s="2" t="inlineStr">
        <is>
          <t>Agaciro Development Fund (AgDF)</t>
        </is>
      </c>
      <c r="B42" s="2" t="inlineStr">
        <is>
          <t>Rwanda</t>
        </is>
      </c>
      <c r="C42" s="2" t="inlineStr">
        <is>
          <t>SWF / Strategic</t>
        </is>
      </c>
      <c r="D42" s="2" t="inlineStr">
        <is>
          <t>Direct equity</t>
        </is>
      </c>
      <c r="E42" s="2" t="n"/>
      <c r="F42" s="2" t="inlineStr">
        <is>
          <t>Domestic strategic investments</t>
        </is>
      </c>
      <c r="G42" s="2" t="inlineStr">
        <is>
          <t>Direct</t>
        </is>
      </c>
      <c r="H42" s="2" t="inlineStr">
        <is>
          <t>Domestic</t>
        </is>
      </c>
      <c r="I42" s="2" t="inlineStr">
        <is>
          <t>ongoing</t>
        </is>
      </c>
      <c r="J42" s="2" t="inlineStr">
        <is>
          <t>Part of USD 220m AUM</t>
        </is>
      </c>
      <c r="K42" s="2" t="inlineStr">
        <is>
          <t>RWF</t>
        </is>
      </c>
      <c r="L42" s="2" t="inlineStr">
        <is>
          <t>Annual report</t>
        </is>
      </c>
      <c r="M42" s="2" t="inlineStr">
        <is>
          <t>AgDF disclosures</t>
        </is>
      </c>
      <c r="N42" s="2" t="inlineStr">
        <is>
          <t>M</t>
        </is>
      </c>
      <c r="O42" s="2" t="inlineStr">
        <is>
          <t>AgDF holds equity in selected Rwandan strategic companies. AgDF annual report supports aggregate equity allocation; no named direct strategic investments listed in this row.</t>
        </is>
      </c>
      <c r="P42" t="inlineStr">
        <is>
          <t>Direct Equity / Strategic Stake</t>
        </is>
      </c>
      <c r="Q42" t="inlineStr">
        <is>
          <t>Generalist</t>
        </is>
      </c>
      <c r="R42" t="inlineStr">
        <is>
          <t>Direct Investment</t>
        </is>
      </c>
      <c r="S42" t="inlineStr">
        <is>
          <t>S255</t>
        </is>
      </c>
    </row>
    <row r="43" ht="23.25" customHeight="1" s="26">
      <c r="A43" s="2" t="inlineStr">
        <is>
          <t>Rwanda Social Security Board (RSSB)</t>
        </is>
      </c>
      <c r="B43" s="2" t="inlineStr">
        <is>
          <t>Rwanda</t>
        </is>
      </c>
      <c r="C43" s="2" t="inlineStr">
        <is>
          <t>Public PF</t>
        </is>
      </c>
      <c r="D43" s="2" t="inlineStr">
        <is>
          <t>Direct equity</t>
        </is>
      </c>
      <c r="E43" s="2" t="n"/>
      <c r="F43" s="2" t="inlineStr">
        <is>
          <t>BK Group, RwandAir, other strategic stakes</t>
        </is>
      </c>
      <c r="G43" s="2" t="inlineStr">
        <is>
          <t>Direct</t>
        </is>
      </c>
      <c r="H43" s="2" t="inlineStr">
        <is>
          <t>Domestic</t>
        </is>
      </c>
      <c r="I43" s="2" t="inlineStr">
        <is>
          <t>ongoing</t>
        </is>
      </c>
      <c r="J43" s="2" t="inlineStr">
        <is>
          <t>Not separately disclosed</t>
        </is>
      </c>
      <c r="K43" s="2" t="inlineStr">
        <is>
          <t>RWF</t>
        </is>
      </c>
      <c r="L43" s="2" t="inlineStr">
        <is>
          <t>Annual report</t>
        </is>
      </c>
      <c r="M43" s="2" t="inlineStr">
        <is>
          <t>RSSB disclosures</t>
        </is>
      </c>
      <c r="N43" s="2" t="inlineStr">
        <is>
          <t>H</t>
        </is>
      </c>
      <c r="O43" s="2" t="inlineStr">
        <is>
          <t>RSSB holds significant direct equity in Rwandan strategic enterprises. Source supports RSSB/BK Group ownership; row remains aggregate because RwandAir/other strategic stakes need separate source support.</t>
        </is>
      </c>
      <c r="P43" t="inlineStr">
        <is>
          <t>Direct Equity / Strategic Stake</t>
        </is>
      </c>
      <c r="Q43" t="inlineStr">
        <is>
          <t>Generalist</t>
        </is>
      </c>
      <c r="R43" t="inlineStr">
        <is>
          <t>Direct Investment</t>
        </is>
      </c>
      <c r="S43" t="inlineStr">
        <is>
          <t>S256</t>
        </is>
      </c>
    </row>
    <row r="44" ht="23.25" customHeight="1" s="26">
      <c r="A44" s="2" t="inlineStr">
        <is>
          <t>Social Security and National Insurance Trust (SSNIT)</t>
        </is>
      </c>
      <c r="B44" s="2" t="inlineStr">
        <is>
          <t>Ghana</t>
        </is>
      </c>
      <c r="C44" s="2" t="inlineStr">
        <is>
          <t>Public PF</t>
        </is>
      </c>
      <c r="D44" s="2" t="inlineStr">
        <is>
          <t>Direct / Mixed alts</t>
        </is>
      </c>
      <c r="E44" s="2" t="n"/>
      <c r="F44" s="2" t="inlineStr">
        <is>
          <t>Alternatives portfolio (real estate, PE, direct equity)</t>
        </is>
      </c>
      <c r="G44" s="2" t="inlineStr">
        <is>
          <t>PE / RE / Direct</t>
        </is>
      </c>
      <c r="H44" s="2" t="inlineStr">
        <is>
          <t>Domestic</t>
        </is>
      </c>
      <c r="I44" s="2" t="n">
        <v>2023</v>
      </c>
      <c r="J44" s="2" t="inlineStr">
        <is>
          <t>GHS 2.1bn (34% of GHS 16.7bn)</t>
        </is>
      </c>
      <c r="K44" s="2" t="inlineStr">
        <is>
          <t>GHS</t>
        </is>
      </c>
      <c r="L44" s="2" t="inlineStr">
        <is>
          <t>Annual report</t>
        </is>
      </c>
      <c r="M44" s="2" t="inlineStr">
        <is>
          <t>SSNIT 2022/23 Annual Report</t>
        </is>
      </c>
      <c r="N44" s="2" t="inlineStr">
        <is>
          <t>H</t>
        </is>
      </c>
      <c r="O44" s="2" t="inlineStr">
        <is>
          <t>34% of portfolio in alts as of 2023; 2024 strategy shift to rebalance toward fixed income announced.</t>
        </is>
      </c>
      <c r="P44" t="inlineStr">
        <is>
          <t>Direct Equity / Strategic Stake</t>
        </is>
      </c>
      <c r="Q44" t="inlineStr">
        <is>
          <t>Infrastructure; Real Estate / Housing; Multi-Sector</t>
        </is>
      </c>
      <c r="R44" t="inlineStr">
        <is>
          <t>Direct Investment</t>
        </is>
      </c>
      <c r="S44" t="inlineStr">
        <is>
          <t>S034</t>
        </is>
      </c>
    </row>
    <row r="45" ht="23.25" customHeight="1" s="26">
      <c r="A45" s="2" t="inlineStr">
        <is>
          <t>Social Security and National Insurance Trust (SSNIT)</t>
        </is>
      </c>
      <c r="B45" s="2" t="inlineStr">
        <is>
          <t>Ghana</t>
        </is>
      </c>
      <c r="C45" s="2" t="inlineStr">
        <is>
          <t>Public PF</t>
        </is>
      </c>
      <c r="D45" s="2" t="inlineStr">
        <is>
          <t>Direct equity</t>
        </is>
      </c>
      <c r="E45" s="2" t="n"/>
      <c r="F45" s="2" t="inlineStr">
        <is>
          <t>Direct stakes in Ghanaian banks, agribusiness, real estate</t>
        </is>
      </c>
      <c r="G45" s="2" t="inlineStr">
        <is>
          <t>Direct</t>
        </is>
      </c>
      <c r="H45" s="2" t="inlineStr">
        <is>
          <t>Domestic</t>
        </is>
      </c>
      <c r="I45" s="2" t="inlineStr">
        <is>
          <t>ongoing</t>
        </is>
      </c>
      <c r="J45" s="2" t="inlineStr">
        <is>
          <t>Significant portion of equity portfolio</t>
        </is>
      </c>
      <c r="K45" s="2" t="inlineStr">
        <is>
          <t>GHS</t>
        </is>
      </c>
      <c r="L45" s="2" t="inlineStr">
        <is>
          <t>Annual report</t>
        </is>
      </c>
      <c r="M45" s="2" t="inlineStr">
        <is>
          <t>SSNIT disclosures</t>
        </is>
      </c>
      <c r="N45" s="2" t="inlineStr">
        <is>
          <t>H</t>
        </is>
      </c>
      <c r="O45" s="2" t="inlineStr">
        <is>
          <t>Significant historic direct-equity holdings in listed and unlisted Ghanaian firms.</t>
        </is>
      </c>
      <c r="P45" t="inlineStr">
        <is>
          <t>Direct Equity / Strategic Stake</t>
        </is>
      </c>
      <c r="Q45" t="inlineStr">
        <is>
          <t>Agriculture / Food Security; Financial Inclusion / Financial Services; Real Estate / Housing</t>
        </is>
      </c>
      <c r="R45" t="inlineStr">
        <is>
          <t>Direct Investment</t>
        </is>
      </c>
      <c r="S45" t="inlineStr">
        <is>
          <t>S034;S035</t>
        </is>
      </c>
    </row>
    <row r="46" ht="15" customHeight="1" s="26">
      <c r="A46" s="2" t="inlineStr">
        <is>
          <t>Ghana Infrastructure Investment Fund (GIIF)</t>
        </is>
      </c>
      <c r="B46" s="2" t="inlineStr">
        <is>
          <t>Ghana</t>
        </is>
      </c>
      <c r="C46" s="2" t="inlineStr">
        <is>
          <t>SWF (infra)</t>
        </is>
      </c>
      <c r="D46" s="2" t="inlineStr">
        <is>
          <t>Direct / Co-invest</t>
        </is>
      </c>
      <c r="E46" s="2" t="n"/>
      <c r="F46" s="2" t="inlineStr">
        <is>
          <t>Domestic infrastructure deals (toll roads, energy, water)</t>
        </is>
      </c>
      <c r="G46" s="2" t="inlineStr">
        <is>
          <t>Direct / Infra</t>
        </is>
      </c>
      <c r="H46" s="2" t="inlineStr">
        <is>
          <t>Domestic</t>
        </is>
      </c>
      <c r="I46" s="2" t="inlineStr">
        <is>
          <t>ongoing</t>
        </is>
      </c>
      <c r="J46" s="2" t="inlineStr">
        <is>
          <t>Part of USD 400m AUM</t>
        </is>
      </c>
      <c r="K46" s="2" t="inlineStr">
        <is>
          <t>USD</t>
        </is>
      </c>
      <c r="L46" s="2" t="inlineStr">
        <is>
          <t>Annual report</t>
        </is>
      </c>
      <c r="M46" s="2" t="inlineStr">
        <is>
          <t>GIIF disclosures</t>
        </is>
      </c>
      <c r="N46" s="2" t="inlineStr">
        <is>
          <t>M</t>
        </is>
      </c>
      <c r="O46" s="2" t="inlineStr">
        <is>
          <t>Domestic infrastructure direct-deal mandate.</t>
        </is>
      </c>
      <c r="P46" t="inlineStr">
        <is>
          <t>Direct Equity / Strategic Stake</t>
        </is>
      </c>
      <c r="Q46" t="inlineStr">
        <is>
          <t>Infrastructure; Multi-Sector</t>
        </is>
      </c>
      <c r="R46" t="inlineStr">
        <is>
          <t>Direct Investment</t>
        </is>
      </c>
      <c r="S46" t="inlineStr">
        <is>
          <t>S257</t>
        </is>
      </c>
    </row>
    <row r="47" ht="23.25" customHeight="1" s="26">
      <c r="A47" s="2" t="inlineStr">
        <is>
          <t>FGIS</t>
        </is>
      </c>
      <c r="B47" s="2" t="inlineStr">
        <is>
          <t>Gabon</t>
        </is>
      </c>
      <c r="C47" s="2" t="inlineStr">
        <is>
          <t>SWF (strategic)</t>
        </is>
      </c>
      <c r="D47" s="2" t="inlineStr">
        <is>
          <t>Direct equity</t>
        </is>
      </c>
      <c r="E47" s="2" t="n"/>
      <c r="F47" s="2" t="inlineStr">
        <is>
          <t>Gabonese financial and infra stakes</t>
        </is>
      </c>
      <c r="G47" s="2" t="inlineStr">
        <is>
          <t>Direct / Mixed</t>
        </is>
      </c>
      <c r="H47" s="2" t="inlineStr">
        <is>
          <t>Domestic + regional</t>
        </is>
      </c>
      <c r="I47" s="2" t="inlineStr">
        <is>
          <t>ongoing</t>
        </is>
      </c>
      <c r="J47" s="2" t="inlineStr">
        <is>
          <t>Not separately disclosed</t>
        </is>
      </c>
      <c r="K47" s="2" t="inlineStr">
        <is>
          <t>XAF</t>
        </is>
      </c>
      <c r="L47" s="2" t="inlineStr">
        <is>
          <t>Annual report</t>
        </is>
      </c>
      <c r="M47" s="2" t="inlineStr">
        <is>
          <t>FGIS disclosures</t>
        </is>
      </c>
      <c r="N47" s="2" t="inlineStr">
        <is>
          <t>M</t>
        </is>
      </c>
      <c r="O47" s="2" t="inlineStr">
        <is>
          <t>FGIS has built equity stakes in Gabonese banking and infrastructure. Source supports FGIS strategic investment/state-asset role, but not specific financial/infra stakes; keep as aggregate unless holdings are named.</t>
        </is>
      </c>
      <c r="P47" t="inlineStr">
        <is>
          <t>Direct Equity / Strategic Stake</t>
        </is>
      </c>
      <c r="Q47" t="inlineStr">
        <is>
          <t>Infrastructure; Financial Inclusion / Financial Services; Multi-Sector</t>
        </is>
      </c>
      <c r="R47" t="inlineStr">
        <is>
          <t>Direct Investment</t>
        </is>
      </c>
      <c r="S47" t="inlineStr">
        <is>
          <t>S258</t>
        </is>
      </c>
    </row>
    <row r="48" ht="23.25" customHeight="1" s="26">
      <c r="A48" s="2" t="inlineStr">
        <is>
          <t>FSD Djibouti</t>
        </is>
      </c>
      <c r="B48" s="2" t="inlineStr">
        <is>
          <t>Djibouti</t>
        </is>
      </c>
      <c r="C48" s="2" t="inlineStr">
        <is>
          <t>SWF (strategic)</t>
        </is>
      </c>
      <c r="D48" s="2" t="inlineStr">
        <is>
          <t>Co-invest / Platform</t>
        </is>
      </c>
      <c r="E48" s="2" t="n"/>
      <c r="F48" s="2" t="inlineStr">
        <is>
          <t>Domestic strategic partnerships</t>
        </is>
      </c>
      <c r="G48" s="2" t="inlineStr">
        <is>
          <t>Direct / Infra</t>
        </is>
      </c>
      <c r="H48" s="2" t="inlineStr">
        <is>
          <t>Domestic</t>
        </is>
      </c>
      <c r="I48" s="2" t="inlineStr">
        <is>
          <t>ongoing</t>
        </is>
      </c>
      <c r="J48" s="2" t="inlineStr">
        <is>
          <t>Not separately disclosed</t>
        </is>
      </c>
      <c r="K48" s="2" t="inlineStr">
        <is>
          <t>USD</t>
        </is>
      </c>
      <c r="L48" s="2" t="inlineStr">
        <is>
          <t>Press releases</t>
        </is>
      </c>
      <c r="M48" s="2" t="inlineStr">
        <is>
          <t>FSD disclosures</t>
        </is>
      </c>
      <c r="N48" s="2" t="inlineStr">
        <is>
          <t>M</t>
        </is>
      </c>
      <c r="O48" s="2" t="inlineStr">
        <is>
          <t>Mandate includes strategic co-investments. Source supports FSD co-investment mandate; no discrete closed platform transaction identified.</t>
        </is>
      </c>
      <c r="P48" t="inlineStr">
        <is>
          <t>Direct Equity / Strategic Stake</t>
        </is>
      </c>
      <c r="Q48" t="inlineStr">
        <is>
          <t>Infrastructure; Multi-Sector</t>
        </is>
      </c>
      <c r="R48" t="inlineStr">
        <is>
          <t>Platform / Anchor Sponsor</t>
        </is>
      </c>
      <c r="S48" t="inlineStr">
        <is>
          <t>S259</t>
        </is>
      </c>
    </row>
    <row r="49" ht="23.25" customHeight="1" s="26">
      <c r="A49" s="2" t="inlineStr">
        <is>
          <t>Axis Pension Trust</t>
        </is>
      </c>
      <c r="B49" s="2" t="inlineStr">
        <is>
          <t>Ghana</t>
        </is>
      </c>
      <c r="C49" s="2" t="inlineStr">
        <is>
          <t>Tier 2/3 corporate trustee</t>
        </is>
      </c>
      <c r="D49" s="2" t="inlineStr">
        <is>
          <t>Fund LP / Co-investor</t>
        </is>
      </c>
      <c r="E49" s="2" t="inlineStr">
        <is>
          <t>Growth Investment Partners (GIP) – BII platform</t>
        </is>
      </c>
      <c r="F49" s="2" t="inlineStr">
        <is>
          <t>Growth Investment Partners Ghana</t>
        </is>
      </c>
      <c r="G49" s="2" t="inlineStr">
        <is>
          <t>Private credit / SME debt</t>
        </is>
      </c>
      <c r="H49" s="2" t="inlineStr">
        <is>
          <t>Domestic (Ghana)</t>
        </is>
      </c>
      <c r="I49" s="2" t="n">
        <v>2026</v>
      </c>
      <c r="J49" s="2" t="inlineStr">
        <is>
          <t>USD 5m</t>
        </is>
      </c>
      <c r="K49" s="2" t="inlineStr">
        <is>
          <t>USD</t>
        </is>
      </c>
      <c r="L49" s="2" t="inlineStr">
        <is>
          <t>Press release / trade press</t>
        </is>
      </c>
      <c r="M49" s="2" t="inlineStr">
        <is>
          <t>BII / Axis Pension Trust / Norfund joint announcement April 2026</t>
        </is>
      </c>
      <c r="N49" s="2" t="inlineStr">
        <is>
          <t>H</t>
        </is>
      </c>
      <c r="O49" s="2" t="inlineStr">
        <is>
          <t>First disclosed Ghanaian pension trustee commitment to SME debt under Ghana's new 5% alternative-assets rule. Co-committed alongside Norfund (USD 15m); GIP capital base raised to ~USD 70m.</t>
        </is>
      </c>
      <c r="P49" t="inlineStr">
        <is>
          <t>Private Credit</t>
        </is>
      </c>
      <c r="Q49" t="inlineStr">
        <is>
          <t>SME Finance</t>
        </is>
      </c>
      <c r="R49" t="inlineStr">
        <is>
          <t>Co-investment</t>
        </is>
      </c>
      <c r="S49" t="inlineStr">
        <is>
          <t>S075;S077;S076</t>
        </is>
      </c>
    </row>
    <row r="50" ht="23.25" customHeight="1" s="26">
      <c r="A50" s="2" t="inlineStr">
        <is>
          <t>Axis Pension Trust</t>
        </is>
      </c>
      <c r="B50" s="2" t="inlineStr">
        <is>
          <t>Ghana</t>
        </is>
      </c>
      <c r="C50" s="2" t="inlineStr">
        <is>
          <t>Tier 2/3 corporate trustee</t>
        </is>
      </c>
      <c r="D50" s="2" t="inlineStr">
        <is>
          <t>Fund LP</t>
        </is>
      </c>
      <c r="E50" s="2" t="inlineStr">
        <is>
          <t>Savannah Impact Advisory (Manager)</t>
        </is>
      </c>
      <c r="F50" s="2" t="inlineStr">
        <is>
          <t>Ci Gaba Fund of Funds</t>
        </is>
      </c>
      <c r="G50" s="2" t="inlineStr">
        <is>
          <t>Fund of Funds</t>
        </is>
      </c>
      <c r="H50" s="2" t="inlineStr">
        <is>
          <t>Ghana + Nigeria + Senegal + Côte d'Ivoire</t>
        </is>
      </c>
      <c r="I50" s="2" t="n">
        <v>2026</v>
      </c>
      <c r="J50" s="2" t="inlineStr">
        <is>
          <t>Share of GHS 383m (USD 35m) first close</t>
        </is>
      </c>
      <c r="K50" s="2" t="inlineStr">
        <is>
          <t>GHS</t>
        </is>
      </c>
      <c r="L50" s="2" t="inlineStr">
        <is>
          <t>Press release / trade press</t>
        </is>
      </c>
      <c r="M50" s="2" t="inlineStr">
        <is>
          <t>Ci Gaba FoF first close March 2026</t>
        </is>
      </c>
      <c r="N50" s="2" t="inlineStr">
        <is>
          <t>H</t>
        </is>
      </c>
      <c r="O50" s="2" t="inlineStr">
        <is>
          <t>Ghanaian pension capital is &gt;2/3 of Ci Gaba's first-close commitments. West Africa's first domestically-domiciled private fund of funds; target size GHS 1bn / USD 91m.</t>
        </is>
      </c>
      <c r="P50" t="inlineStr">
        <is>
          <t>Fund of Funds</t>
        </is>
      </c>
      <c r="Q50" t="inlineStr">
        <is>
          <t>SME Finance</t>
        </is>
      </c>
      <c r="R50" t="inlineStr">
        <is>
          <t>Fund of Funds LP</t>
        </is>
      </c>
      <c r="S50" t="inlineStr">
        <is>
          <t>S080;S081</t>
        </is>
      </c>
    </row>
    <row r="51" ht="15" customHeight="1" s="26">
      <c r="A51" s="2" t="inlineStr">
        <is>
          <t>Enterprise Trustees Limited</t>
        </is>
      </c>
      <c r="B51" s="2" t="inlineStr">
        <is>
          <t>Ghana</t>
        </is>
      </c>
      <c r="C51" s="2" t="inlineStr">
        <is>
          <t>Tier 2/3 corporate trustee</t>
        </is>
      </c>
      <c r="D51" s="2" t="inlineStr">
        <is>
          <t>Fund LP</t>
        </is>
      </c>
      <c r="E51" s="2" t="inlineStr">
        <is>
          <t>Savannah Impact Advisory (Manager)</t>
        </is>
      </c>
      <c r="F51" s="2" t="inlineStr">
        <is>
          <t>Ci Gaba Fund of Funds</t>
        </is>
      </c>
      <c r="G51" s="2" t="inlineStr">
        <is>
          <t>Fund of Funds</t>
        </is>
      </c>
      <c r="H51" s="2" t="inlineStr">
        <is>
          <t>Ghana + Nigeria + Senegal + Côte d'Ivoire</t>
        </is>
      </c>
      <c r="I51" s="2" t="n">
        <v>2026</v>
      </c>
      <c r="J51" s="2" t="inlineStr">
        <is>
          <t>Share of GHS 383m (USD 35m) first close</t>
        </is>
      </c>
      <c r="K51" s="2" t="inlineStr">
        <is>
          <t>GHS</t>
        </is>
      </c>
      <c r="L51" s="2" t="inlineStr">
        <is>
          <t>Press release / trade press</t>
        </is>
      </c>
      <c r="M51" s="2" t="inlineStr">
        <is>
          <t>Ci Gaba FoF first close March 2026</t>
        </is>
      </c>
      <c r="N51" s="2" t="inlineStr">
        <is>
          <t>H</t>
        </is>
      </c>
      <c r="O51" s="2" t="inlineStr">
        <is>
          <t>One of Ghana's largest private trustees; LP alongside AXIS, Stanbic IMS, CAL Asset Management, FSDAi, Small Foundation, FMO.</t>
        </is>
      </c>
      <c r="P51" t="inlineStr">
        <is>
          <t>Fund of Funds</t>
        </is>
      </c>
      <c r="Q51" t="inlineStr">
        <is>
          <t>SME Finance</t>
        </is>
      </c>
      <c r="R51" t="inlineStr">
        <is>
          <t>Fund of Funds LP</t>
        </is>
      </c>
      <c r="S51" t="inlineStr">
        <is>
          <t>S080;S081</t>
        </is>
      </c>
    </row>
    <row r="52" ht="15" customHeight="1" s="26">
      <c r="A52" s="2" t="inlineStr">
        <is>
          <t>PIC (South Africa)</t>
        </is>
      </c>
      <c r="B52" s="2" t="inlineStr">
        <is>
          <t>South Africa</t>
        </is>
      </c>
      <c r="C52" s="2" t="inlineStr">
        <is>
          <t>Public PF (via mgr)</t>
        </is>
      </c>
      <c r="D52" s="2" t="inlineStr">
        <is>
          <t>Direct equity (shareholder)</t>
        </is>
      </c>
      <c r="E52" s="2" t="n"/>
      <c r="F52" s="2" t="inlineStr">
        <is>
          <t>Africa Finance Corporation (AFC)</t>
        </is>
      </c>
      <c r="G52" s="2" t="inlineStr">
        <is>
          <t>Infrastructure / Multilateral</t>
        </is>
      </c>
      <c r="H52" s="2" t="inlineStr">
        <is>
          <t>Pan-Africa</t>
        </is>
      </c>
      <c r="I52" s="2" t="n">
        <v>2022</v>
      </c>
      <c r="J52" s="2" t="inlineStr">
        <is>
          <t>USD 100m</t>
        </is>
      </c>
      <c r="K52" s="2" t="inlineStr">
        <is>
          <t>USD</t>
        </is>
      </c>
      <c r="L52" s="2" t="inlineStr">
        <is>
          <t>Press release</t>
        </is>
      </c>
      <c r="M52" s="2" t="inlineStr">
        <is>
          <t>AFC announcement of PIC $100m equity investment Dec 2022</t>
        </is>
      </c>
      <c r="N52" s="2" t="inlineStr">
        <is>
          <t>H</t>
        </is>
      </c>
      <c r="O52" s="2" t="inlineStr">
        <is>
          <t>Separate from the 2025 PIC-Africa50 commitment. PIC's largest disclosed pan-African institutional equity position.</t>
        </is>
      </c>
      <c r="P52" t="inlineStr">
        <is>
          <t>Direct Equity / Strategic Stake</t>
        </is>
      </c>
      <c r="Q52" t="inlineStr">
        <is>
          <t>Infrastructure</t>
        </is>
      </c>
      <c r="R52" t="inlineStr">
        <is>
          <t>Direct Investment</t>
        </is>
      </c>
      <c r="S52" t="inlineStr">
        <is>
          <t>S087;S220</t>
        </is>
      </c>
    </row>
    <row r="53" ht="34.5" customHeight="1" s="26">
      <c r="A53" s="2" t="inlineStr">
        <is>
          <t>Seychelles Pension Fund</t>
        </is>
      </c>
      <c r="B53" s="2" t="inlineStr">
        <is>
          <t>Seychelles</t>
        </is>
      </c>
      <c r="C53" s="2" t="inlineStr">
        <is>
          <t>Public PF</t>
        </is>
      </c>
      <c r="D53" s="2" t="inlineStr">
        <is>
          <t>Direct equity (shareholder)</t>
        </is>
      </c>
      <c r="E53" s="2" t="n"/>
      <c r="F53" s="2" t="inlineStr">
        <is>
          <t>Africa Finance Corporation (AFC)</t>
        </is>
      </c>
      <c r="G53" s="2" t="inlineStr">
        <is>
          <t>Infrastructure / Multilateral</t>
        </is>
      </c>
      <c r="H53" s="2" t="inlineStr">
        <is>
          <t>Pan-Africa</t>
        </is>
      </c>
      <c r="I53" s="2" t="inlineStr">
        <is>
          <t>various</t>
        </is>
      </c>
      <c r="J53" s="2" t="inlineStr">
        <is>
          <t>Part of USD 35.5m group commitment</t>
        </is>
      </c>
      <c r="K53" s="2" t="inlineStr">
        <is>
          <t>USD</t>
        </is>
      </c>
      <c r="L53" s="2" t="inlineStr">
        <is>
          <t>Press release</t>
        </is>
      </c>
      <c r="M53" s="2" t="inlineStr">
        <is>
          <t>AFC press release on Indian Ocean shareholders</t>
        </is>
      </c>
      <c r="N53" s="2" t="inlineStr">
        <is>
          <t>H</t>
        </is>
      </c>
      <c r="O53" s="2" t="inlineStr">
        <is>
          <t>First Indian Ocean shareholder of AFC; joined with Sierra Leone and GIIF Ghana.</t>
        </is>
      </c>
      <c r="P53" t="inlineStr">
        <is>
          <t>Direct Equity / Strategic Stake</t>
        </is>
      </c>
      <c r="Q53" t="inlineStr">
        <is>
          <t>Infrastructure</t>
        </is>
      </c>
      <c r="R53" t="inlineStr">
        <is>
          <t>Direct Investment</t>
        </is>
      </c>
      <c r="S53" t="inlineStr">
        <is>
          <t>S083;S087</t>
        </is>
      </c>
    </row>
    <row r="54" ht="23.25" customHeight="1" s="26">
      <c r="A54" s="2" t="inlineStr">
        <is>
          <t>Ghana Infrastructure Investment Fund (GIIF)</t>
        </is>
      </c>
      <c r="B54" s="2" t="inlineStr">
        <is>
          <t>Ghana</t>
        </is>
      </c>
      <c r="C54" s="2" t="inlineStr">
        <is>
          <t>SWF (infra)</t>
        </is>
      </c>
      <c r="D54" s="2" t="inlineStr">
        <is>
          <t>Direct equity (shareholder)</t>
        </is>
      </c>
      <c r="E54" s="2" t="n"/>
      <c r="F54" s="2" t="inlineStr">
        <is>
          <t>Africa Finance Corporation (AFC)</t>
        </is>
      </c>
      <c r="G54" s="2" t="inlineStr">
        <is>
          <t>Infrastructure / Multilateral</t>
        </is>
      </c>
      <c r="H54" s="2" t="inlineStr">
        <is>
          <t>Pan-Africa</t>
        </is>
      </c>
      <c r="I54" s="2" t="inlineStr">
        <is>
          <t>various</t>
        </is>
      </c>
      <c r="J54" s="2" t="inlineStr">
        <is>
          <t>Part of USD 35.5m group commitment</t>
        </is>
      </c>
      <c r="K54" s="2" t="inlineStr">
        <is>
          <t>USD</t>
        </is>
      </c>
      <c r="L54" s="2" t="inlineStr">
        <is>
          <t>Press release</t>
        </is>
      </c>
      <c r="M54" s="2" t="inlineStr">
        <is>
          <t>AFC press release on Ghana/Sierra Leone/Seychelles shareholders</t>
        </is>
      </c>
      <c r="N54" s="2" t="inlineStr">
        <is>
          <t>H</t>
        </is>
      </c>
      <c r="O54" s="2" t="inlineStr">
        <is>
          <t>GIIF deploys its own balance sheet into AFC; aligns with GIIF's domestic-infra mandate.</t>
        </is>
      </c>
      <c r="P54" t="inlineStr">
        <is>
          <t>Direct Equity / Strategic Stake</t>
        </is>
      </c>
      <c r="Q54" t="inlineStr">
        <is>
          <t>Infrastructure</t>
        </is>
      </c>
      <c r="R54" t="inlineStr">
        <is>
          <t>Direct Investment</t>
        </is>
      </c>
      <c r="S54" t="inlineStr">
        <is>
          <t>S083;S087</t>
        </is>
      </c>
    </row>
    <row r="55" ht="23.25" customHeight="1" s="26">
      <c r="A55" s="2" t="inlineStr">
        <is>
          <t>National Pension Fund (NPF) Mauritius</t>
        </is>
      </c>
      <c r="B55" s="2" t="inlineStr">
        <is>
          <t>Mauritius</t>
        </is>
      </c>
      <c r="C55" s="2" t="inlineStr">
        <is>
          <t>Public PF</t>
        </is>
      </c>
      <c r="D55" s="2" t="inlineStr">
        <is>
          <t>Direct equity (shareholder)</t>
        </is>
      </c>
      <c r="E55" s="2" t="n"/>
      <c r="F55" s="2" t="inlineStr">
        <is>
          <t>Africa Finance Corporation (AFC)</t>
        </is>
      </c>
      <c r="G55" s="2" t="inlineStr">
        <is>
          <t>Infrastructure / Multilateral</t>
        </is>
      </c>
      <c r="H55" s="2" t="inlineStr">
        <is>
          <t>Pan-Africa</t>
        </is>
      </c>
      <c r="I55" s="2" t="inlineStr">
        <is>
          <t>various</t>
        </is>
      </c>
      <c r="J55" s="2" t="inlineStr">
        <is>
          <t>Not separately disclosed</t>
        </is>
      </c>
      <c r="K55" s="2" t="inlineStr">
        <is>
          <t>USD</t>
        </is>
      </c>
      <c r="L55" s="2" t="inlineStr">
        <is>
          <t>Press release</t>
        </is>
      </c>
      <c r="M55" s="2" t="inlineStr">
        <is>
          <t>AFC press release on Côte d'Ivoire / Mauritius shareholders</t>
        </is>
      </c>
      <c r="N55" s="2" t="inlineStr">
        <is>
          <t>H</t>
        </is>
      </c>
      <c r="O55" s="2" t="inlineStr">
        <is>
          <t>Mauritius participates via NPF and NSF jointly.</t>
        </is>
      </c>
      <c r="P55" t="inlineStr">
        <is>
          <t>Direct Equity / Strategic Stake</t>
        </is>
      </c>
      <c r="Q55" t="inlineStr">
        <is>
          <t>Infrastructure</t>
        </is>
      </c>
      <c r="R55" t="inlineStr">
        <is>
          <t>Direct Investment</t>
        </is>
      </c>
      <c r="S55" t="inlineStr">
        <is>
          <t>S084;S087</t>
        </is>
      </c>
    </row>
    <row r="56" ht="23.25" customHeight="1" s="26">
      <c r="A56" s="2" t="inlineStr">
        <is>
          <t>National Savings Fund (NSF) Mauritius</t>
        </is>
      </c>
      <c r="B56" s="2" t="inlineStr">
        <is>
          <t>Mauritius</t>
        </is>
      </c>
      <c r="C56" s="2" t="inlineStr">
        <is>
          <t>Public PF</t>
        </is>
      </c>
      <c r="D56" s="2" t="inlineStr">
        <is>
          <t>Direct equity (shareholder)</t>
        </is>
      </c>
      <c r="E56" s="2" t="n"/>
      <c r="F56" s="2" t="inlineStr">
        <is>
          <t>Africa Finance Corporation (AFC)</t>
        </is>
      </c>
      <c r="G56" s="2" t="inlineStr">
        <is>
          <t>Infrastructure / Multilateral</t>
        </is>
      </c>
      <c r="H56" s="2" t="inlineStr">
        <is>
          <t>Pan-Africa</t>
        </is>
      </c>
      <c r="I56" s="2" t="inlineStr">
        <is>
          <t>various</t>
        </is>
      </c>
      <c r="J56" s="2" t="inlineStr">
        <is>
          <t>Not separately disclosed</t>
        </is>
      </c>
      <c r="K56" s="2" t="inlineStr">
        <is>
          <t>USD</t>
        </is>
      </c>
      <c r="L56" s="2" t="inlineStr">
        <is>
          <t>Press release</t>
        </is>
      </c>
      <c r="M56" s="2" t="inlineStr">
        <is>
          <t>AFC press release on Mauritius shareholders</t>
        </is>
      </c>
      <c r="N56" s="2" t="inlineStr">
        <is>
          <t>H</t>
        </is>
      </c>
      <c r="O56" s="2" t="inlineStr">
        <is>
          <t>Joint Mauritian participation alongside NPF.</t>
        </is>
      </c>
      <c r="P56" t="inlineStr">
        <is>
          <t>Direct Equity / Strategic Stake</t>
        </is>
      </c>
      <c r="Q56" t="inlineStr">
        <is>
          <t>Infrastructure</t>
        </is>
      </c>
      <c r="R56" t="inlineStr">
        <is>
          <t>Direct Investment</t>
        </is>
      </c>
      <c r="S56" t="inlineStr">
        <is>
          <t>S084;S087</t>
        </is>
      </c>
    </row>
    <row r="57" ht="34.5" customHeight="1" s="26">
      <c r="A57" s="2" t="inlineStr">
        <is>
          <t>CNPS Cameroon</t>
        </is>
      </c>
      <c r="B57" s="2" t="inlineStr">
        <is>
          <t>Cameroon</t>
        </is>
      </c>
      <c r="C57" s="2" t="inlineStr">
        <is>
          <t>Public PF</t>
        </is>
      </c>
      <c r="D57" s="2" t="inlineStr">
        <is>
          <t>Direct equity (shareholder)</t>
        </is>
      </c>
      <c r="E57" s="2" t="n"/>
      <c r="F57" s="2" t="inlineStr">
        <is>
          <t>Africa Finance Corporation (AFC)</t>
        </is>
      </c>
      <c r="G57" s="2" t="inlineStr">
        <is>
          <t>Infrastructure / Multilateral</t>
        </is>
      </c>
      <c r="H57" s="2" t="inlineStr">
        <is>
          <t>Pan-Africa</t>
        </is>
      </c>
      <c r="I57" s="2" t="inlineStr">
        <is>
          <t>various</t>
        </is>
      </c>
      <c r="J57" s="2" t="inlineStr">
        <is>
          <t>Not separately disclosed</t>
        </is>
      </c>
      <c r="K57" s="2" t="inlineStr">
        <is>
          <t>USD</t>
        </is>
      </c>
      <c r="L57" s="2" t="inlineStr">
        <is>
          <t>Press release</t>
        </is>
      </c>
      <c r="M57" s="2" t="inlineStr">
        <is>
          <t>Business in Cameroon — CNPS Cameroon joins AFC as shareholder</t>
        </is>
      </c>
      <c r="N57" s="2" t="inlineStr">
        <is>
          <t>H</t>
        </is>
      </c>
      <c r="O57" s="2" t="inlineStr">
        <is>
          <t>First Central African pension fund to take AFC equity. Important precedent for CIPRES-supervised funds.</t>
        </is>
      </c>
      <c r="P57" t="inlineStr">
        <is>
          <t>Direct Equity / Strategic Stake</t>
        </is>
      </c>
      <c r="Q57" t="inlineStr">
        <is>
          <t>Infrastructure</t>
        </is>
      </c>
      <c r="R57" t="inlineStr">
        <is>
          <t>Direct Investment</t>
        </is>
      </c>
      <c r="S57" t="inlineStr">
        <is>
          <t>S082</t>
        </is>
      </c>
    </row>
    <row r="58" ht="34.5" customHeight="1" s="26">
      <c r="A58" s="2" t="inlineStr">
        <is>
          <t>CDC Gabon (State pension fund of Gabon)</t>
        </is>
      </c>
      <c r="B58" s="2" t="inlineStr">
        <is>
          <t>Gabon</t>
        </is>
      </c>
      <c r="C58" s="2" t="inlineStr">
        <is>
          <t>Civil-service PF</t>
        </is>
      </c>
      <c r="D58" s="2" t="inlineStr">
        <is>
          <t>Direct equity (shareholder)</t>
        </is>
      </c>
      <c r="E58" s="2" t="n"/>
      <c r="F58" s="2" t="inlineStr">
        <is>
          <t>Africa Finance Corporation (AFC)</t>
        </is>
      </c>
      <c r="G58" s="2" t="inlineStr">
        <is>
          <t>Infrastructure / Multilateral</t>
        </is>
      </c>
      <c r="H58" s="2" t="inlineStr">
        <is>
          <t>Pan-Africa</t>
        </is>
      </c>
      <c r="I58" s="2" t="inlineStr">
        <is>
          <t>various</t>
        </is>
      </c>
      <c r="J58" s="2" t="inlineStr">
        <is>
          <t>Not separately disclosed</t>
        </is>
      </c>
      <c r="K58" s="2" t="inlineStr">
        <is>
          <t>USD</t>
        </is>
      </c>
      <c r="L58" s="2" t="inlineStr">
        <is>
          <t>Press release</t>
        </is>
      </c>
      <c r="M58" s="2" t="inlineStr">
        <is>
          <t>AFC equity-shareholder list</t>
        </is>
      </c>
      <c r="N58" s="2" t="inlineStr">
        <is>
          <t>H</t>
        </is>
      </c>
      <c r="O58" s="2" t="inlineStr">
        <is>
          <t>Distinct from CNSS Gabon and FGIS. NEW entity vs Phase 1 roster — should be added to Pension Funds tab.</t>
        </is>
      </c>
      <c r="P58" t="inlineStr">
        <is>
          <t>Direct Equity / Strategic Stake</t>
        </is>
      </c>
      <c r="Q58" t="inlineStr">
        <is>
          <t>Infrastructure</t>
        </is>
      </c>
      <c r="R58" t="inlineStr">
        <is>
          <t>Direct Investment</t>
        </is>
      </c>
      <c r="S58" t="inlineStr">
        <is>
          <t>S087</t>
        </is>
      </c>
    </row>
    <row r="59" ht="23.25" customHeight="1" s="26">
      <c r="A59" s="2" t="inlineStr">
        <is>
          <t>Government of Côte d'Ivoire</t>
        </is>
      </c>
      <c r="B59" s="2" t="inlineStr">
        <is>
          <t>Côte d'Ivoire</t>
        </is>
      </c>
      <c r="C59" s="2" t="inlineStr">
        <is>
          <t>Sovereign</t>
        </is>
      </c>
      <c r="D59" s="2" t="inlineStr">
        <is>
          <t>Direct equity (shareholder)</t>
        </is>
      </c>
      <c r="E59" s="2" t="n"/>
      <c r="F59" s="2" t="inlineStr">
        <is>
          <t>Africa Finance Corporation (AFC)</t>
        </is>
      </c>
      <c r="G59" s="2" t="inlineStr">
        <is>
          <t>Infrastructure / Multilateral</t>
        </is>
      </c>
      <c r="H59" s="2" t="inlineStr">
        <is>
          <t>Pan-Africa</t>
        </is>
      </c>
      <c r="I59" s="2" t="inlineStr">
        <is>
          <t>various</t>
        </is>
      </c>
      <c r="J59" s="2" t="inlineStr">
        <is>
          <t>Not separately disclosed</t>
        </is>
      </c>
      <c r="K59" s="2" t="inlineStr">
        <is>
          <t>USD</t>
        </is>
      </c>
      <c r="L59" s="2" t="inlineStr">
        <is>
          <t>Press release</t>
        </is>
      </c>
      <c r="M59" s="2" t="inlineStr">
        <is>
          <t>AFC press release on Côte d'Ivoire / Mauritius shareholders</t>
        </is>
      </c>
      <c r="N59" s="2" t="inlineStr">
        <is>
          <t>H</t>
        </is>
      </c>
      <c r="O59" s="2" t="inlineStr">
        <is>
          <t>Ivorian sovereign equity participation.</t>
        </is>
      </c>
      <c r="P59" t="inlineStr">
        <is>
          <t>Direct Equity / Strategic Stake</t>
        </is>
      </c>
      <c r="Q59" t="inlineStr">
        <is>
          <t>Infrastructure</t>
        </is>
      </c>
      <c r="R59" t="inlineStr">
        <is>
          <t>Direct Investment</t>
        </is>
      </c>
      <c r="S59" t="inlineStr">
        <is>
          <t>S084;S087</t>
        </is>
      </c>
    </row>
    <row r="60" ht="34.5" customHeight="1" s="26">
      <c r="A60" s="2" t="inlineStr">
        <is>
          <t>Government of Sierra Leone</t>
        </is>
      </c>
      <c r="B60" s="2" t="inlineStr">
        <is>
          <t>Sierra Leone</t>
        </is>
      </c>
      <c r="C60" s="2" t="inlineStr">
        <is>
          <t>Sovereign</t>
        </is>
      </c>
      <c r="D60" s="2" t="inlineStr">
        <is>
          <t>Direct equity (shareholder)</t>
        </is>
      </c>
      <c r="E60" s="2" t="n"/>
      <c r="F60" s="2" t="inlineStr">
        <is>
          <t>Africa Finance Corporation (AFC)</t>
        </is>
      </c>
      <c r="G60" s="2" t="inlineStr">
        <is>
          <t>Infrastructure / Multilateral</t>
        </is>
      </c>
      <c r="H60" s="2" t="inlineStr">
        <is>
          <t>Pan-Africa</t>
        </is>
      </c>
      <c r="I60" s="2" t="inlineStr">
        <is>
          <t>various</t>
        </is>
      </c>
      <c r="J60" s="2" t="inlineStr">
        <is>
          <t>Part of USD 35.5m group commitment</t>
        </is>
      </c>
      <c r="K60" s="2" t="inlineStr">
        <is>
          <t>USD</t>
        </is>
      </c>
      <c r="L60" s="2" t="inlineStr">
        <is>
          <t>Press release</t>
        </is>
      </c>
      <c r="M60" s="2" t="inlineStr">
        <is>
          <t>AFC press release</t>
        </is>
      </c>
      <c r="N60" s="2" t="inlineStr">
        <is>
          <t>H</t>
        </is>
      </c>
      <c r="O60" s="2" t="n"/>
      <c r="P60" t="inlineStr">
        <is>
          <t>Direct Equity / Strategic Stake</t>
        </is>
      </c>
      <c r="Q60" t="inlineStr">
        <is>
          <t>Infrastructure</t>
        </is>
      </c>
      <c r="R60" t="inlineStr">
        <is>
          <t>Direct Investment</t>
        </is>
      </c>
      <c r="S60" t="inlineStr">
        <is>
          <t>S083;S087</t>
        </is>
      </c>
    </row>
    <row r="61" ht="23.25" customHeight="1" s="26">
      <c r="A61" s="2" t="inlineStr">
        <is>
          <t>Government of Egypt</t>
        </is>
      </c>
      <c r="B61" s="2" t="inlineStr">
        <is>
          <t>Egypt</t>
        </is>
      </c>
      <c r="C61" s="2" t="inlineStr">
        <is>
          <t>Sovereign</t>
        </is>
      </c>
      <c r="D61" s="2" t="inlineStr">
        <is>
          <t>Direct equity (shareholder)</t>
        </is>
      </c>
      <c r="E61" s="2" t="n"/>
      <c r="F61" s="2" t="inlineStr">
        <is>
          <t>Africa Finance Corporation (AFC)</t>
        </is>
      </c>
      <c r="G61" s="2" t="inlineStr">
        <is>
          <t>Infrastructure / Multilateral</t>
        </is>
      </c>
      <c r="H61" s="2" t="inlineStr">
        <is>
          <t>Pan-Africa</t>
        </is>
      </c>
      <c r="I61" s="2" t="n">
        <v>2024</v>
      </c>
      <c r="J61" s="2" t="inlineStr">
        <is>
          <t>Not separately disclosed</t>
        </is>
      </c>
      <c r="K61" s="2" t="inlineStr">
        <is>
          <t>USD</t>
        </is>
      </c>
      <c r="L61" s="2" t="inlineStr">
        <is>
          <t>Press release</t>
        </is>
      </c>
      <c r="M61" s="2" t="inlineStr">
        <is>
          <t>AFC – Egypt becomes first North African shareholder (2024)</t>
        </is>
      </c>
      <c r="N61" s="2" t="inlineStr">
        <is>
          <t>H</t>
        </is>
      </c>
      <c r="O61" s="2" t="inlineStr">
        <is>
          <t>First North African shareholder of AFC; widens TSFE-NOSI Egypt's institutional alts footprint outside the country.</t>
        </is>
      </c>
      <c r="P61" t="inlineStr">
        <is>
          <t>Direct Equity / Strategic Stake</t>
        </is>
      </c>
      <c r="Q61" t="inlineStr">
        <is>
          <t>Infrastructure</t>
        </is>
      </c>
      <c r="R61" t="inlineStr">
        <is>
          <t>Direct Investment</t>
        </is>
      </c>
      <c r="S61" t="inlineStr">
        <is>
          <t>S085;S001;S082</t>
        </is>
      </c>
    </row>
    <row r="62" ht="23.25" customHeight="1" s="26">
      <c r="A62" s="2" t="inlineStr">
        <is>
          <t>CDC Sénégal</t>
        </is>
      </c>
      <c r="B62" s="2" t="inlineStr">
        <is>
          <t>Senegal</t>
        </is>
      </c>
      <c r="C62" s="2" t="inlineStr">
        <is>
          <t>Civil-service PF / Sovereign</t>
        </is>
      </c>
      <c r="D62" s="2" t="inlineStr">
        <is>
          <t>Fund LP</t>
        </is>
      </c>
      <c r="E62" s="2" t="inlineStr">
        <is>
          <t>Africa50</t>
        </is>
      </c>
      <c r="F62" s="2" t="inlineStr">
        <is>
          <t>Africa50 Infrastructure Acceleration Fund (IAF)</t>
        </is>
      </c>
      <c r="G62" s="2" t="inlineStr">
        <is>
          <t>Infrastructure</t>
        </is>
      </c>
      <c r="H62" s="2" t="inlineStr">
        <is>
          <t>Pan-Africa</t>
        </is>
      </c>
      <c r="I62" s="2" t="n">
        <v>2024</v>
      </c>
      <c r="J62" s="2" t="inlineStr">
        <is>
          <t>Part of USD 222.5m first close (&gt;USD 275m mobilised)</t>
        </is>
      </c>
      <c r="K62" s="2" t="inlineStr">
        <is>
          <t>USD</t>
        </is>
      </c>
      <c r="L62" s="2" t="inlineStr">
        <is>
          <t>Press release</t>
        </is>
      </c>
      <c r="M62" s="2" t="inlineStr">
        <is>
          <t>Africa50 IAF first-close announcement</t>
        </is>
      </c>
      <c r="N62" s="2" t="inlineStr">
        <is>
          <t>H</t>
        </is>
      </c>
      <c r="O62" s="2" t="inlineStr">
        <is>
          <t>Distinct from FONSIS; Senegal's civil-service deposit institution. Africa50-IAF was named 'African first' as it was majority African-LP funded.</t>
        </is>
      </c>
      <c r="P62" t="inlineStr">
        <is>
          <t>Real Assets / Infrastructure Equity</t>
        </is>
      </c>
      <c r="Q62" t="inlineStr">
        <is>
          <t>Infrastructure</t>
        </is>
      </c>
      <c r="R62" t="inlineStr">
        <is>
          <t>Fund LP</t>
        </is>
      </c>
      <c r="S62" t="inlineStr">
        <is>
          <t>S088;S089;S090</t>
        </is>
      </c>
    </row>
    <row r="63" ht="23.25" customHeight="1" s="26">
      <c r="A63" s="2" t="inlineStr">
        <is>
          <t>CDC Benin</t>
        </is>
      </c>
      <c r="B63" s="2" t="inlineStr">
        <is>
          <t>Benin</t>
        </is>
      </c>
      <c r="C63" s="2" t="inlineStr">
        <is>
          <t>Civil-service PF / Sovereign</t>
        </is>
      </c>
      <c r="D63" s="2" t="inlineStr">
        <is>
          <t>Fund LP</t>
        </is>
      </c>
      <c r="E63" s="2" t="inlineStr">
        <is>
          <t>Africa50</t>
        </is>
      </c>
      <c r="F63" s="2" t="inlineStr">
        <is>
          <t>Africa50 Infrastructure Acceleration Fund (IAF)</t>
        </is>
      </c>
      <c r="G63" s="2" t="inlineStr">
        <is>
          <t>Infrastructure</t>
        </is>
      </c>
      <c r="H63" s="2" t="inlineStr">
        <is>
          <t>Pan-Africa</t>
        </is>
      </c>
      <c r="I63" s="2" t="n">
        <v>2024</v>
      </c>
      <c r="J63" s="2" t="inlineStr">
        <is>
          <t>Part of Africa50-IAF first close</t>
        </is>
      </c>
      <c r="K63" s="2" t="inlineStr">
        <is>
          <t>USD</t>
        </is>
      </c>
      <c r="L63" s="2" t="inlineStr">
        <is>
          <t>Press release</t>
        </is>
      </c>
      <c r="M63" s="2" t="inlineStr">
        <is>
          <t>Africa50 IAF first-close announcement</t>
        </is>
      </c>
      <c r="N63" s="2" t="inlineStr">
        <is>
          <t>H</t>
        </is>
      </c>
      <c r="O63" s="2" t="inlineStr">
        <is>
          <t>Beninese deposit-and-investment institution joining Africa50-IAF.</t>
        </is>
      </c>
      <c r="P63" t="inlineStr">
        <is>
          <t>Real Assets / Infrastructure Equity</t>
        </is>
      </c>
      <c r="Q63" t="inlineStr">
        <is>
          <t>Infrastructure</t>
        </is>
      </c>
      <c r="R63" t="inlineStr">
        <is>
          <t>Fund LP</t>
        </is>
      </c>
      <c r="S63" t="inlineStr">
        <is>
          <t>S088;S089;S090</t>
        </is>
      </c>
    </row>
    <row r="64" ht="23.25" customHeight="1" s="26">
      <c r="A64" s="2" t="inlineStr">
        <is>
          <t>CNSS Togo</t>
        </is>
      </c>
      <c r="B64" s="2" t="inlineStr">
        <is>
          <t>Togo</t>
        </is>
      </c>
      <c r="C64" s="2" t="inlineStr">
        <is>
          <t>Public PF</t>
        </is>
      </c>
      <c r="D64" s="2" t="inlineStr">
        <is>
          <t>Fund LP</t>
        </is>
      </c>
      <c r="E64" s="2" t="inlineStr">
        <is>
          <t>Africa50</t>
        </is>
      </c>
      <c r="F64" s="2" t="inlineStr">
        <is>
          <t>Africa50 Infrastructure Acceleration Fund (IAF)</t>
        </is>
      </c>
      <c r="G64" s="2" t="inlineStr">
        <is>
          <t>Infrastructure</t>
        </is>
      </c>
      <c r="H64" s="2" t="inlineStr">
        <is>
          <t>Pan-Africa</t>
        </is>
      </c>
      <c r="I64" s="2" t="n">
        <v>2024</v>
      </c>
      <c r="J64" s="2" t="inlineStr">
        <is>
          <t>Part of Africa50-IAF first close</t>
        </is>
      </c>
      <c r="K64" s="2" t="inlineStr">
        <is>
          <t>USD</t>
        </is>
      </c>
      <c r="L64" s="2" t="inlineStr">
        <is>
          <t>Press release</t>
        </is>
      </c>
      <c r="M64" s="2" t="inlineStr">
        <is>
          <t>Africa50 IAF first-close announcement</t>
        </is>
      </c>
      <c r="N64" s="2" t="inlineStr">
        <is>
          <t>H</t>
        </is>
      </c>
      <c r="O64" s="2" t="inlineStr">
        <is>
          <t>First disclosed CIPRES-zone pension fund LP commitment to a pan-African PE-style infrastructure fund.</t>
        </is>
      </c>
      <c r="P64" t="inlineStr">
        <is>
          <t>Real Assets / Infrastructure Equity</t>
        </is>
      </c>
      <c r="Q64" t="inlineStr">
        <is>
          <t>Infrastructure</t>
        </is>
      </c>
      <c r="R64" t="inlineStr">
        <is>
          <t>Fund LP</t>
        </is>
      </c>
      <c r="S64" t="inlineStr">
        <is>
          <t>S088;S089;S090</t>
        </is>
      </c>
    </row>
    <row r="65" ht="23.25" customHeight="1" s="26">
      <c r="A65" s="2" t="inlineStr">
        <is>
          <t>CDG Invest (Morocco)</t>
        </is>
      </c>
      <c r="B65" s="2" t="inlineStr">
        <is>
          <t>Morocco</t>
        </is>
      </c>
      <c r="C65" s="2" t="inlineStr">
        <is>
          <t>Sovereign (subsidiary of CDG)</t>
        </is>
      </c>
      <c r="D65" s="2" t="inlineStr">
        <is>
          <t>Fund LP</t>
        </is>
      </c>
      <c r="E65" s="2" t="inlineStr">
        <is>
          <t>Africa50</t>
        </is>
      </c>
      <c r="F65" s="2" t="inlineStr">
        <is>
          <t>Africa50 Infrastructure Acceleration Fund (IAF)</t>
        </is>
      </c>
      <c r="G65" s="2" t="inlineStr">
        <is>
          <t>Infrastructure</t>
        </is>
      </c>
      <c r="H65" s="2" t="inlineStr">
        <is>
          <t>Pan-Africa</t>
        </is>
      </c>
      <c r="I65" s="2" t="n">
        <v>2024</v>
      </c>
      <c r="J65" s="2" t="inlineStr">
        <is>
          <t>Part of Africa50-IAF first close</t>
        </is>
      </c>
      <c r="K65" s="2" t="inlineStr">
        <is>
          <t>USD</t>
        </is>
      </c>
      <c r="L65" s="2" t="inlineStr">
        <is>
          <t>Press release</t>
        </is>
      </c>
      <c r="M65" s="2" t="inlineStr">
        <is>
          <t>Africa50 IAF first-close announcement</t>
        </is>
      </c>
      <c r="N65" s="2" t="inlineStr">
        <is>
          <t>H</t>
        </is>
      </c>
      <c r="O65" s="2" t="inlineStr">
        <is>
          <t>CDG Invest is the asset-management subsidiary of CDG Morocco.</t>
        </is>
      </c>
      <c r="P65" t="inlineStr">
        <is>
          <t>Real Assets / Infrastructure Equity</t>
        </is>
      </c>
      <c r="Q65" t="inlineStr">
        <is>
          <t>Infrastructure</t>
        </is>
      </c>
      <c r="R65" t="inlineStr">
        <is>
          <t>Fund LP</t>
        </is>
      </c>
      <c r="S65" t="inlineStr">
        <is>
          <t>S088;S089;S090</t>
        </is>
      </c>
    </row>
    <row r="66" ht="23.25" customHeight="1" s="26">
      <c r="A66" s="2" t="inlineStr">
        <is>
          <t>CBK Pension Fund (Kenya, Central Bank of Kenya)</t>
        </is>
      </c>
      <c r="B66" s="2" t="inlineStr">
        <is>
          <t>Kenya</t>
        </is>
      </c>
      <c r="C66" s="2" t="inlineStr">
        <is>
          <t>Occupational PF (central bank)</t>
        </is>
      </c>
      <c r="D66" s="2" t="inlineStr">
        <is>
          <t>Fund LP</t>
        </is>
      </c>
      <c r="E66" s="2" t="inlineStr">
        <is>
          <t>AfricInvest</t>
        </is>
      </c>
      <c r="F66" s="2" t="inlineStr">
        <is>
          <t>AfricInvest FIVE (Financial Inclusion Vehicle, evergreen)</t>
        </is>
      </c>
      <c r="G66" s="2" t="inlineStr">
        <is>
          <t>PE / Financial services</t>
        </is>
      </c>
      <c r="H66" s="2" t="inlineStr">
        <is>
          <t>Pan-Africa</t>
        </is>
      </c>
      <c r="I66" s="2" t="n">
        <v>2018</v>
      </c>
      <c r="J66" s="2" t="inlineStr">
        <is>
          <t>Not separately disclosed</t>
        </is>
      </c>
      <c r="K66" s="2" t="inlineStr">
        <is>
          <t>USD</t>
        </is>
      </c>
      <c r="L66" s="2" t="inlineStr">
        <is>
          <t>Press release</t>
        </is>
      </c>
      <c r="M66" s="2" t="inlineStr">
        <is>
          <t>AVCA – AfricInvest FIVE second close Oct 2018 announcement</t>
        </is>
      </c>
      <c r="N66" s="2" t="inlineStr">
        <is>
          <t>H</t>
        </is>
      </c>
      <c r="O66" s="2" t="inlineStr">
        <is>
          <t>CBK Pension Fund (Central Bank of Kenya staff pension) committed alongside Norfund and IFU. CBK PF remained LP through subsequent closes.</t>
        </is>
      </c>
      <c r="P66" t="inlineStr">
        <is>
          <t>Private Equity</t>
        </is>
      </c>
      <c r="Q66" t="inlineStr">
        <is>
          <t>Financial Inclusion / Financial Services</t>
        </is>
      </c>
      <c r="R66" t="inlineStr">
        <is>
          <t>Fund LP</t>
        </is>
      </c>
      <c r="S66" t="inlineStr">
        <is>
          <t>S092;S095;S093</t>
        </is>
      </c>
    </row>
    <row r="67" ht="23.25" customHeight="1" s="26">
      <c r="A67" s="2" t="inlineStr">
        <is>
          <t>NAPSA Zambia</t>
        </is>
      </c>
      <c r="B67" s="2" t="inlineStr">
        <is>
          <t>Zambia</t>
        </is>
      </c>
      <c r="C67" s="2" t="inlineStr">
        <is>
          <t>Public PF (mandatory)</t>
        </is>
      </c>
      <c r="D67" s="2" t="inlineStr">
        <is>
          <t>Direct equity (platform anchor)</t>
        </is>
      </c>
      <c r="E67" s="2" t="n"/>
      <c r="F67" s="2" t="inlineStr">
        <is>
          <t>Growth Investment Partners Zambia (GIP Zambia)</t>
        </is>
      </c>
      <c r="G67" s="2" t="inlineStr">
        <is>
          <t>Private credit / SME debt</t>
        </is>
      </c>
      <c r="H67" s="2" t="inlineStr">
        <is>
          <t>Domestic (Zambia)</t>
        </is>
      </c>
      <c r="I67" s="2" t="n">
        <v>2025</v>
      </c>
      <c r="J67" s="2" t="inlineStr">
        <is>
          <t>USD 17.5m</t>
        </is>
      </c>
      <c r="K67" s="2" t="inlineStr">
        <is>
          <t>USD</t>
        </is>
      </c>
      <c r="L67" s="2" t="inlineStr">
        <is>
          <t>Press release</t>
        </is>
      </c>
      <c r="M67" s="2" t="inlineStr">
        <is>
          <t>BII launch of GIP Zambia Jan 2025</t>
        </is>
      </c>
      <c r="N67" s="2" t="inlineStr">
        <is>
          <t>H</t>
        </is>
      </c>
      <c r="O67" s="2" t="inlineStr">
        <is>
          <t>NAPSA is the third anchor alongside BII (USD 37.5m) and Swedfund (USD 15m); GIP Zambia plans to deploy USD 300m over 15 years to ~150 Zambian SMEs in local currency. Largest single disclosed Zambian-pension alts commitment.</t>
        </is>
      </c>
      <c r="P67" t="inlineStr">
        <is>
          <t>Private Credit</t>
        </is>
      </c>
      <c r="Q67" t="inlineStr">
        <is>
          <t>SME Finance</t>
        </is>
      </c>
      <c r="R67" t="inlineStr">
        <is>
          <t>Direct Investment</t>
        </is>
      </c>
      <c r="S67" t="inlineStr">
        <is>
          <t>S096;S097;S098</t>
        </is>
      </c>
    </row>
    <row r="68" ht="23.25" customHeight="1" s="26">
      <c r="A68" s="2" t="inlineStr">
        <is>
          <t>Multiple Kenyan pension funds</t>
        </is>
      </c>
      <c r="B68" s="2" t="inlineStr">
        <is>
          <t>Kenya</t>
        </is>
      </c>
      <c r="C68" s="2" t="inlineStr">
        <is>
          <t>Pension fund cohort (unnamed)</t>
        </is>
      </c>
      <c r="D68" s="2" t="inlineStr">
        <is>
          <t>Fund LP</t>
        </is>
      </c>
      <c r="E68" s="2" t="inlineStr">
        <is>
          <t>Adenia Partners</t>
        </is>
      </c>
      <c r="F68" s="2" t="inlineStr">
        <is>
          <t>Adenia Capital V</t>
        </is>
      </c>
      <c r="G68" s="2" t="inlineStr">
        <is>
          <t>PE</t>
        </is>
      </c>
      <c r="H68" s="2" t="inlineStr">
        <is>
          <t>Pan-Africa</t>
        </is>
      </c>
      <c r="I68" s="2" t="n">
        <v>2024</v>
      </c>
      <c r="J68" s="2" t="inlineStr">
        <is>
          <t>Share of USD 470m hard cap close</t>
        </is>
      </c>
      <c r="K68" s="2" t="inlineStr">
        <is>
          <t>USD</t>
        </is>
      </c>
      <c r="L68" s="2" t="inlineStr">
        <is>
          <t>Trade press</t>
        </is>
      </c>
      <c r="M68" s="2" t="inlineStr">
        <is>
          <t>Adenia April 2024 fund-close press release; Africa Global Funds; Bloomberg coverage</t>
        </is>
      </c>
      <c r="N68" s="2" t="inlineStr">
        <is>
          <t>M</t>
        </is>
      </c>
      <c r="O68" s="2" t="inlineStr">
        <is>
          <t>Adenia Capital V LP roster includes 'Kenyan pension funds' but no specific funds named at close-disclosure level. Likely candidates: schemes that participate via KEPFIC consortium.</t>
        </is>
      </c>
      <c r="P68" t="inlineStr">
        <is>
          <t>Private Equity</t>
        </is>
      </c>
      <c r="Q68" t="inlineStr">
        <is>
          <t>Generalist</t>
        </is>
      </c>
      <c r="R68" t="inlineStr">
        <is>
          <t>Fund LP</t>
        </is>
      </c>
      <c r="S68" t="inlineStr">
        <is>
          <t>S103;S104</t>
        </is>
      </c>
    </row>
    <row r="69" ht="23.25" customHeight="1" s="26">
      <c r="A69" s="2" t="inlineStr">
        <is>
          <t>Multiple Ghanaian pension funds</t>
        </is>
      </c>
      <c r="B69" s="2" t="inlineStr">
        <is>
          <t>Ghana</t>
        </is>
      </c>
      <c r="C69" s="2" t="inlineStr">
        <is>
          <t>Pension fund cohort (unnamed)</t>
        </is>
      </c>
      <c r="D69" s="2" t="inlineStr">
        <is>
          <t>Fund LP</t>
        </is>
      </c>
      <c r="E69" s="2" t="inlineStr">
        <is>
          <t>Adenia Partners</t>
        </is>
      </c>
      <c r="F69" s="2" t="inlineStr">
        <is>
          <t>Adenia Capital V</t>
        </is>
      </c>
      <c r="G69" s="2" t="inlineStr">
        <is>
          <t>PE</t>
        </is>
      </c>
      <c r="H69" s="2" t="inlineStr">
        <is>
          <t>Pan-Africa</t>
        </is>
      </c>
      <c r="I69" s="2" t="n">
        <v>2024</v>
      </c>
      <c r="J69" s="2" t="inlineStr">
        <is>
          <t>Share of USD 470m hard cap close</t>
        </is>
      </c>
      <c r="K69" s="2" t="inlineStr">
        <is>
          <t>USD</t>
        </is>
      </c>
      <c r="L69" s="2" t="inlineStr">
        <is>
          <t>Trade press</t>
        </is>
      </c>
      <c r="M69" s="2" t="inlineStr">
        <is>
          <t>Adenia April 2024 fund-close press release</t>
        </is>
      </c>
      <c r="N69" s="2" t="inlineStr">
        <is>
          <t>M</t>
        </is>
      </c>
      <c r="O69" s="2" t="inlineStr">
        <is>
          <t>Adenia Capital V LP roster includes 'Ghanaian pension funds' but no specific trustees named at close-disclosure level.</t>
        </is>
      </c>
      <c r="P69" t="inlineStr">
        <is>
          <t>Private Equity</t>
        </is>
      </c>
      <c r="Q69" t="inlineStr">
        <is>
          <t>Generalist</t>
        </is>
      </c>
      <c r="R69" t="inlineStr">
        <is>
          <t>Fund LP</t>
        </is>
      </c>
      <c r="S69" t="inlineStr">
        <is>
          <t>S103;S104</t>
        </is>
      </c>
    </row>
    <row r="70" ht="23.25" customHeight="1" s="26">
      <c r="A70" s="2" t="inlineStr">
        <is>
          <t>PIC (South Africa)</t>
        </is>
      </c>
      <c r="B70" s="2" t="inlineStr">
        <is>
          <t>South Africa</t>
        </is>
      </c>
      <c r="C70" s="2" t="inlineStr">
        <is>
          <t>Public PF (via mgr)</t>
        </is>
      </c>
      <c r="D70" s="2" t="inlineStr">
        <is>
          <t>Fund LP</t>
        </is>
      </c>
      <c r="E70" s="2" t="inlineStr">
        <is>
          <t>Adenia Partners</t>
        </is>
      </c>
      <c r="F70" s="2" t="inlineStr">
        <is>
          <t>Adenia Capital V</t>
        </is>
      </c>
      <c r="G70" s="2" t="inlineStr">
        <is>
          <t>PE</t>
        </is>
      </c>
      <c r="H70" s="2" t="inlineStr">
        <is>
          <t>Pan-Africa</t>
        </is>
      </c>
      <c r="I70" s="2" t="n">
        <v>2024</v>
      </c>
      <c r="J70" s="2" t="inlineStr">
        <is>
          <t>Share of USD 470m hard cap close</t>
        </is>
      </c>
      <c r="K70" s="2" t="inlineStr">
        <is>
          <t>USD</t>
        </is>
      </c>
      <c r="L70" s="2" t="inlineStr">
        <is>
          <t>Trade press</t>
        </is>
      </c>
      <c r="M70" s="2" t="inlineStr">
        <is>
          <t>Adenia April 2024 fund-close press release</t>
        </is>
      </c>
      <c r="N70" s="2" t="inlineStr">
        <is>
          <t>H</t>
        </is>
      </c>
      <c r="O70" s="2" t="inlineStr">
        <is>
          <t>Specifically named as LP in Adenia V's hard-cap close; PIC commitment size not disclosed.</t>
        </is>
      </c>
      <c r="P70" t="inlineStr">
        <is>
          <t>Private Equity</t>
        </is>
      </c>
      <c r="Q70" t="inlineStr">
        <is>
          <t>Generalist</t>
        </is>
      </c>
      <c r="R70" t="inlineStr">
        <is>
          <t>Fund LP</t>
        </is>
      </c>
      <c r="S70" t="inlineStr">
        <is>
          <t>S103;S104</t>
        </is>
      </c>
    </row>
    <row r="71" ht="23.25" customHeight="1" s="26">
      <c r="A71" s="2" t="inlineStr">
        <is>
          <t>Multiple East African pension funds (likely incl. NSSF Uganda)</t>
        </is>
      </c>
      <c r="B71" s="2" t="inlineStr">
        <is>
          <t>East Africa</t>
        </is>
      </c>
      <c r="C71" s="2" t="inlineStr">
        <is>
          <t>Pension fund cohort</t>
        </is>
      </c>
      <c r="D71" s="2" t="inlineStr">
        <is>
          <t>Fund LP</t>
        </is>
      </c>
      <c r="E71" s="2" t="inlineStr">
        <is>
          <t>Catalyst Principal Partners</t>
        </is>
      </c>
      <c r="F71" s="2" t="inlineStr">
        <is>
          <t>Catalyst Fund II</t>
        </is>
      </c>
      <c r="G71" s="2" t="inlineStr">
        <is>
          <t>PE</t>
        </is>
      </c>
      <c r="H71" s="2" t="inlineStr">
        <is>
          <t>East Africa + DRC</t>
        </is>
      </c>
      <c r="I71" s="2" t="inlineStr">
        <is>
          <t>2016–2017 final close</t>
        </is>
      </c>
      <c r="J71" s="2" t="inlineStr">
        <is>
          <t>Share of USD 155m total close</t>
        </is>
      </c>
      <c r="K71" s="2" t="inlineStr">
        <is>
          <t>USD</t>
        </is>
      </c>
      <c r="L71" s="2" t="inlineStr">
        <is>
          <t>Trade press</t>
        </is>
      </c>
      <c r="M71" s="2" t="inlineStr">
        <is>
          <t>Catalyst Fund II close coverage; EIB profile</t>
        </is>
      </c>
      <c r="N71" s="2" t="inlineStr">
        <is>
          <t>M</t>
        </is>
      </c>
      <c r="O71" s="2" t="inlineStr">
        <is>
          <t>Catalyst Fund II disclosed 'local pension funds and family offices' as LPs alongside CDC/BII USD 30m, EIB, IFC, Proparco, Swedfund. NSSF Uganda is known to have committed (per earlier industry reporting); other names not publicly disclosed.</t>
        </is>
      </c>
      <c r="P71" t="inlineStr">
        <is>
          <t>Private Equity</t>
        </is>
      </c>
      <c r="Q71" t="inlineStr">
        <is>
          <t>Infrastructure</t>
        </is>
      </c>
      <c r="R71" t="inlineStr">
        <is>
          <t>Fund LP</t>
        </is>
      </c>
      <c r="S71" t="inlineStr">
        <is>
          <t>S102;S101;S104</t>
        </is>
      </c>
    </row>
    <row r="72" ht="23.25" customHeight="1" s="26">
      <c r="A72" s="2" t="inlineStr">
        <is>
          <t>KEPFIC (Kenya Pension Funds Investment Consortium)</t>
        </is>
      </c>
      <c r="B72" s="2" t="inlineStr">
        <is>
          <t>Kenya</t>
        </is>
      </c>
      <c r="C72" s="2" t="inlineStr">
        <is>
          <t>Pension consortium (24 funds)</t>
        </is>
      </c>
      <c r="D72" s="2" t="inlineStr">
        <is>
          <t>Pooled mandate / facilitated member investments</t>
        </is>
      </c>
      <c r="E72" s="2" t="inlineStr">
        <is>
          <t>Various</t>
        </is>
      </c>
      <c r="F72" s="2" t="inlineStr">
        <is>
          <t>KEPFIC-facilitated housing + infrastructure investments</t>
        </is>
      </c>
      <c r="G72" s="2" t="inlineStr">
        <is>
          <t>Infrastructure / Alts</t>
        </is>
      </c>
      <c r="H72" s="2" t="inlineStr">
        <is>
          <t>Domestic + Regional</t>
        </is>
      </c>
      <c r="I72" s="2" t="inlineStr">
        <is>
          <t>2019–</t>
        </is>
      </c>
      <c r="J72" s="2" t="inlineStr">
        <is>
          <t>USD 113m mobilized into two housing projects; third road bond near closing (2023)</t>
        </is>
      </c>
      <c r="K72" s="2" t="inlineStr">
        <is>
          <t>USD</t>
        </is>
      </c>
      <c r="L72" s="2" t="inlineStr">
        <is>
          <t>Allocator disclosure</t>
        </is>
      </c>
      <c r="M72" s="2" t="inlineStr">
        <is>
          <t>IFC 2023 Pooling Pensions in Kenya; MiDA Lot 3 update</t>
        </is>
      </c>
      <c r="N72" s="2" t="inlineStr">
        <is>
          <t>H</t>
        </is>
      </c>
      <c r="O72" s="2" t="inlineStr">
        <is>
          <t>Retained as an aggregate consortium archetype only. IFC reports KEPFIC mobilized $113m into two housing projects and facilitated two member-fund investments, with a road infrastructure bond near closing. Individual KEPFIC member-only rows removed because membership alone is not allocator-to-vehicle commitment evidence.</t>
        </is>
      </c>
      <c r="P72" t="inlineStr">
        <is>
          <t>Real Assets / Infrastructure Equity</t>
        </is>
      </c>
      <c r="Q72" t="inlineStr">
        <is>
          <t>Infrastructure; Real Estate / Housing; Multi-Sector</t>
        </is>
      </c>
      <c r="R72" t="inlineStr">
        <is>
          <t>Mandate / Pipeline Only</t>
        </is>
      </c>
      <c r="S72" t="inlineStr">
        <is>
          <t>S106;S107;S105</t>
        </is>
      </c>
    </row>
    <row r="73" ht="23.25" customHeight="1" s="26">
      <c r="A73" s="2" t="inlineStr">
        <is>
          <t>Kenya Power &amp; Lighting Co. Pension Fund (KPLC PF)</t>
        </is>
      </c>
      <c r="B73" s="2" t="inlineStr">
        <is>
          <t>Kenya</t>
        </is>
      </c>
      <c r="C73" s="2" t="inlineStr">
        <is>
          <t>Occupational PF (parastatal)</t>
        </is>
      </c>
      <c r="D73" s="2" t="inlineStr">
        <is>
          <t>Fund LP</t>
        </is>
      </c>
      <c r="E73" s="2" t="inlineStr">
        <is>
          <t>Ascent Capital Africa</t>
        </is>
      </c>
      <c r="F73" s="2" t="inlineStr">
        <is>
          <t>Ascent Rift Valley Fund I (ARVF I)</t>
        </is>
      </c>
      <c r="G73" s="2" t="inlineStr">
        <is>
          <t>PE / SME growth</t>
        </is>
      </c>
      <c r="H73" s="2" t="inlineStr">
        <is>
          <t>East Africa (Kenya, Uganda, Ethiopia)</t>
        </is>
      </c>
      <c r="I73" s="2" t="n">
        <v>2014</v>
      </c>
      <c r="J73" s="2" t="inlineStr">
        <is>
          <t>USD 4m</t>
        </is>
      </c>
      <c r="K73" s="2" t="inlineStr">
        <is>
          <t>USD</t>
        </is>
      </c>
      <c r="L73" s="2" t="inlineStr">
        <is>
          <t>Press release / trade press</t>
        </is>
      </c>
      <c r="M73" s="2" t="inlineStr">
        <is>
          <t>Africa Global Funds — ARVF first close July 2014 (KPLC PF named as 'first pension fund in East African PE')</t>
        </is>
      </c>
      <c r="N73" s="2" t="inlineStr">
        <is>
          <t>H</t>
        </is>
      </c>
      <c r="O73" s="2" t="inlineStr">
        <is>
          <t>Historical first: described as 'the first pension fund in East African private equity'. ARVF I total first close USD 50m.</t>
        </is>
      </c>
      <c r="P73" t="inlineStr">
        <is>
          <t>Private Equity</t>
        </is>
      </c>
      <c r="Q73" t="inlineStr">
        <is>
          <t>SME Finance</t>
        </is>
      </c>
      <c r="R73" t="inlineStr">
        <is>
          <t>Fund LP</t>
        </is>
      </c>
      <c r="S73" t="inlineStr">
        <is>
          <t>S114;S113</t>
        </is>
      </c>
    </row>
    <row r="74" ht="23.25" customHeight="1" s="26">
      <c r="A74" s="2" t="inlineStr">
        <is>
          <t>Nation Media Group Staff Retirement Benefits Scheme (NMG Pension Fund)</t>
        </is>
      </c>
      <c r="B74" s="2" t="inlineStr">
        <is>
          <t>Kenya</t>
        </is>
      </c>
      <c r="C74" s="2" t="inlineStr">
        <is>
          <t>Corporate occupational PF</t>
        </is>
      </c>
      <c r="D74" s="2" t="inlineStr">
        <is>
          <t>Fund LP (via STANLIB)</t>
        </is>
      </c>
      <c r="E74" s="2" t="inlineStr">
        <is>
          <t>Ascent Capital Africa</t>
        </is>
      </c>
      <c r="F74" s="2" t="inlineStr">
        <is>
          <t>Ascent Rift Valley Fund I (ARVF I)</t>
        </is>
      </c>
      <c r="G74" s="2" t="inlineStr">
        <is>
          <t>PE / SME growth</t>
        </is>
      </c>
      <c r="H74" s="2" t="inlineStr">
        <is>
          <t>East Africa (Kenya, Uganda, Ethiopia)</t>
        </is>
      </c>
      <c r="I74" s="2" t="n">
        <v>2015</v>
      </c>
      <c r="J74" s="2" t="inlineStr">
        <is>
          <t>USD 1m (KES 91m)</t>
        </is>
      </c>
      <c r="K74" s="2" t="inlineStr">
        <is>
          <t>USD</t>
        </is>
      </c>
      <c r="L74" s="2" t="inlineStr">
        <is>
          <t>Press release</t>
        </is>
      </c>
      <c r="M74" s="2" t="inlineStr">
        <is>
          <t>Africa Global Funds — 'NMG Pension Fund commits $1m to Ascent' (25 Feb 2015)</t>
        </is>
      </c>
      <c r="N74" s="2" t="inlineStr">
        <is>
          <t>H</t>
        </is>
      </c>
      <c r="O74" s="2" t="inlineStr">
        <is>
          <t>Commitment made via STANLIB Kenya as fund manager. Trustee Wallace Kantai: 'first of many investments of this kind by our fund'.</t>
        </is>
      </c>
      <c r="P74" t="inlineStr">
        <is>
          <t>Private Equity</t>
        </is>
      </c>
      <c r="Q74" t="inlineStr">
        <is>
          <t>SME Finance</t>
        </is>
      </c>
      <c r="R74" t="inlineStr">
        <is>
          <t>Fund LP</t>
        </is>
      </c>
      <c r="S74" t="inlineStr">
        <is>
          <t>S113</t>
        </is>
      </c>
    </row>
    <row r="75" ht="23.25" customHeight="1" s="26">
      <c r="A75" s="2" t="inlineStr">
        <is>
          <t>Kenya Power &amp; Lighting Co. Pension Fund (KPLC PF)</t>
        </is>
      </c>
      <c r="B75" s="2" t="inlineStr">
        <is>
          <t>Kenya</t>
        </is>
      </c>
      <c r="C75" s="2" t="inlineStr">
        <is>
          <t>Occupational PF (parastatal)</t>
        </is>
      </c>
      <c r="D75" s="2" t="inlineStr">
        <is>
          <t>Fund LP</t>
        </is>
      </c>
      <c r="E75" s="2" t="inlineStr">
        <is>
          <t>Ascent Capital Africa</t>
        </is>
      </c>
      <c r="F75" s="2" t="inlineStr">
        <is>
          <t>Ascent Rift Valley Fund II (ARVF II)</t>
        </is>
      </c>
      <c r="G75" s="2" t="inlineStr">
        <is>
          <t>PE / SME growth</t>
        </is>
      </c>
      <c r="H75" s="2" t="inlineStr">
        <is>
          <t>East Africa (Kenya, Uganda, Ethiopia, Rwanda, Tanzania)</t>
        </is>
      </c>
      <c r="I75" s="2" t="inlineStr">
        <is>
          <t>various 2018-2020</t>
        </is>
      </c>
      <c r="J75" s="2" t="inlineStr">
        <is>
          <t>Not separately disclosed (2 KPLC PF commitments per source)</t>
        </is>
      </c>
      <c r="K75" s="2" t="inlineStr">
        <is>
          <t>USD</t>
        </is>
      </c>
      <c r="L75" s="2" t="inlineStr">
        <is>
          <t>DFI co-disclosure</t>
        </is>
      </c>
      <c r="M75" s="2" t="inlineStr">
        <is>
          <t>BIO / IFC project disclosures; Africa Global Funds; AVCA Ascent interview</t>
        </is>
      </c>
      <c r="N75" s="2" t="inlineStr">
        <is>
          <t>H</t>
        </is>
      </c>
      <c r="O75" s="2" t="inlineStr">
        <is>
          <t>Source notes 'three pension funds (two from Kenya Power Pension Fund and one from Nation Media Group Staff Pension Fund)'. Two KPLC PF commitments likely reflect the KPLC main scheme + KPLC Staff Retirement Benefits Scheme separately.</t>
        </is>
      </c>
      <c r="P75" t="inlineStr">
        <is>
          <t>Private Equity</t>
        </is>
      </c>
      <c r="Q75" t="inlineStr">
        <is>
          <t>SME Finance</t>
        </is>
      </c>
      <c r="R75" t="inlineStr">
        <is>
          <t>Fund LP</t>
        </is>
      </c>
      <c r="S75" t="inlineStr">
        <is>
          <t>S115;S116;S117</t>
        </is>
      </c>
    </row>
    <row r="76" ht="23.25" customHeight="1" s="26">
      <c r="A76" s="2" t="inlineStr">
        <is>
          <t>Nation Media Group Staff Retirement Benefits Scheme (NMG Pension Fund)</t>
        </is>
      </c>
      <c r="B76" s="2" t="inlineStr">
        <is>
          <t>Kenya</t>
        </is>
      </c>
      <c r="C76" s="2" t="inlineStr">
        <is>
          <t>Corporate occupational PF</t>
        </is>
      </c>
      <c r="D76" s="2" t="inlineStr">
        <is>
          <t>Fund LP</t>
        </is>
      </c>
      <c r="E76" s="2" t="inlineStr">
        <is>
          <t>Ascent Capital Africa</t>
        </is>
      </c>
      <c r="F76" s="2" t="inlineStr">
        <is>
          <t>Ascent Rift Valley Fund II (ARVF II)</t>
        </is>
      </c>
      <c r="G76" s="2" t="inlineStr">
        <is>
          <t>PE / SME growth</t>
        </is>
      </c>
      <c r="H76" s="2" t="inlineStr">
        <is>
          <t>East Africa</t>
        </is>
      </c>
      <c r="I76" s="2" t="inlineStr">
        <is>
          <t>various 2018-2020</t>
        </is>
      </c>
      <c r="J76" s="2" t="inlineStr">
        <is>
          <t>Not separately disclosed</t>
        </is>
      </c>
      <c r="K76" s="2" t="inlineStr">
        <is>
          <t>USD</t>
        </is>
      </c>
      <c r="L76" s="2" t="inlineStr">
        <is>
          <t>DFI co-disclosure</t>
        </is>
      </c>
      <c r="M76" s="2" t="inlineStr">
        <is>
          <t>IFC ARVF II project disclosure; Africa Global Funds</t>
        </is>
      </c>
      <c r="N76" s="2" t="inlineStr">
        <is>
          <t>H</t>
        </is>
      </c>
      <c r="O76" s="2" t="inlineStr">
        <is>
          <t>Re-up after ARVF I; NMG remains an LP.</t>
        </is>
      </c>
      <c r="P76" t="inlineStr">
        <is>
          <t>Private Equity</t>
        </is>
      </c>
      <c r="Q76" t="inlineStr">
        <is>
          <t>SME Finance</t>
        </is>
      </c>
      <c r="R76" t="inlineStr">
        <is>
          <t>Fund LP</t>
        </is>
      </c>
      <c r="S76" t="inlineStr">
        <is>
          <t>S115;S116</t>
        </is>
      </c>
    </row>
    <row r="77" ht="23.25" customHeight="1" s="26">
      <c r="A77" s="2" t="inlineStr">
        <is>
          <t>Nigeria Sovereign Investment Authority (NSIA)</t>
        </is>
      </c>
      <c r="B77" s="2" t="inlineStr">
        <is>
          <t>Nigeria</t>
        </is>
      </c>
      <c r="C77" s="2" t="inlineStr">
        <is>
          <t>SWF (NIF sub-fund)</t>
        </is>
      </c>
      <c r="D77" s="2" t="inlineStr">
        <is>
          <t>Fund LP</t>
        </is>
      </c>
      <c r="E77" s="2" t="inlineStr">
        <is>
          <t>Sahel Capital</t>
        </is>
      </c>
      <c r="F77" s="2" t="inlineStr">
        <is>
          <t>Fund for Agricultural Finance in Nigeria (FAFIN)</t>
        </is>
      </c>
      <c r="G77" s="2" t="inlineStr">
        <is>
          <t>PE / Agribusiness</t>
        </is>
      </c>
      <c r="H77" s="2" t="inlineStr">
        <is>
          <t>Nigeria</t>
        </is>
      </c>
      <c r="I77" s="2" t="n">
        <v>2017</v>
      </c>
      <c r="J77" s="2" t="inlineStr">
        <is>
          <t>Share of USD 65.9m final close</t>
        </is>
      </c>
      <c r="K77" s="2" t="inlineStr">
        <is>
          <t>USD</t>
        </is>
      </c>
      <c r="L77" s="2" t="inlineStr">
        <is>
          <t>Press release</t>
        </is>
      </c>
      <c r="M77" s="2" t="inlineStr">
        <is>
          <t>NSIA Sahel Capital FAFIN final close announcement</t>
        </is>
      </c>
      <c r="N77" s="2" t="inlineStr">
        <is>
          <t>H</t>
        </is>
      </c>
      <c r="O77" s="2" t="inlineStr">
        <is>
          <t>NSIA was an LP alongside AfDB, CDC Group/BII, and Dutch Good Growth Fund (DGGF) in Sahel's FAFIN. NSIA's earliest disclosed PE fund LP position alongside DFIs.</t>
        </is>
      </c>
      <c r="P77" t="inlineStr">
        <is>
          <t>Private Equity</t>
        </is>
      </c>
      <c r="Q77" t="inlineStr">
        <is>
          <t>Agriculture / Food Security</t>
        </is>
      </c>
      <c r="R77" t="inlineStr">
        <is>
          <t>Fund LP</t>
        </is>
      </c>
      <c r="S77" t="inlineStr">
        <is>
          <t>S139;S140;S141</t>
        </is>
      </c>
    </row>
    <row r="78" ht="34.5" customHeight="1" s="26">
      <c r="A78" s="2" t="inlineStr">
        <is>
          <t>Nigerian pension funds (aggregate)</t>
        </is>
      </c>
      <c r="B78" s="2" t="inlineStr">
        <is>
          <t>Nigeria</t>
        </is>
      </c>
      <c r="C78" s="2" t="inlineStr">
        <is>
          <t>PFA / local pension cohort</t>
        </is>
      </c>
      <c r="D78" s="2" t="inlineStr">
        <is>
          <t>Fund LP (aggregate disclosure)</t>
        </is>
      </c>
      <c r="E78" s="2" t="inlineStr">
        <is>
          <t>African Capital Alliance (ACA)</t>
        </is>
      </c>
      <c r="F78" s="2" t="inlineStr">
        <is>
          <t>Capital Alliance Private Equity III (CAPE III)</t>
        </is>
      </c>
      <c r="G78" s="2" t="inlineStr">
        <is>
          <t>PE</t>
        </is>
      </c>
      <c r="H78" s="2" t="inlineStr">
        <is>
          <t>Nigeria + West Africa</t>
        </is>
      </c>
      <c r="I78" s="2" t="n">
        <v>2009</v>
      </c>
      <c r="J78" s="2" t="inlineStr">
        <is>
          <t>About USD 45m from local pension funds</t>
        </is>
      </c>
      <c r="K78" s="2" t="inlineStr">
        <is>
          <t>USD</t>
        </is>
      </c>
      <c r="L78" s="2" t="inlineStr">
        <is>
          <t>GP / industry interview</t>
        </is>
      </c>
      <c r="M78" s="2" t="inlineStr">
        <is>
          <t>EMPEA / GPCA ACA interview</t>
        </is>
      </c>
      <c r="N78" s="2" t="inlineStr">
        <is>
          <t>M</t>
        </is>
      </c>
      <c r="O78" s="2" t="inlineStr">
        <is>
          <t>ACA founder Okechukwu Enelamah stated that ACA received about USD 45m from local pension funds into its third fund. Individual PFAs not publicly named.</t>
        </is>
      </c>
      <c r="P78" t="inlineStr">
        <is>
          <t>Private Equity</t>
        </is>
      </c>
      <c r="Q78" t="inlineStr">
        <is>
          <t>Generalist</t>
        </is>
      </c>
      <c r="R78" t="inlineStr">
        <is>
          <t>Fund LP</t>
        </is>
      </c>
      <c r="S78" t="inlineStr">
        <is>
          <t>S261;S145</t>
        </is>
      </c>
    </row>
    <row r="79" ht="45.75" customHeight="1" s="26">
      <c r="A79" s="2" t="inlineStr">
        <is>
          <t>Nigerian PFAs / CPFAs (aggregate)</t>
        </is>
      </c>
      <c r="B79" s="2" t="inlineStr">
        <is>
          <t>Nigeria</t>
        </is>
      </c>
      <c r="C79" s="2" t="inlineStr">
        <is>
          <t>PFA / CPFA cohort</t>
        </is>
      </c>
      <c r="D79" s="2" t="inlineStr">
        <is>
          <t>Fund LP (aggregate disclosure)</t>
        </is>
      </c>
      <c r="E79" s="2" t="inlineStr">
        <is>
          <t>African Capital Alliance (ACA)</t>
        </is>
      </c>
      <c r="F79" s="2" t="inlineStr">
        <is>
          <t>Capital Alliance Private Equity IV (CAPE IV)</t>
        </is>
      </c>
      <c r="G79" s="2" t="inlineStr">
        <is>
          <t>PE</t>
        </is>
      </c>
      <c r="H79" s="2" t="inlineStr">
        <is>
          <t>Nigeria + West Africa</t>
        </is>
      </c>
      <c r="I79" s="2" t="n">
        <v>2016</v>
      </c>
      <c r="J79" s="2" t="inlineStr">
        <is>
          <t>Not disclosed publicly; PenCom reports CPFA capital calls on CAPE IV</t>
        </is>
      </c>
      <c r="K79" s="2" t="inlineStr">
        <is>
          <t>USD / NGN</t>
        </is>
      </c>
      <c r="L79" s="2" t="inlineStr">
        <is>
          <t>Regulator / DFI mobilisation study / GP close announcement</t>
        </is>
      </c>
      <c r="M79" s="2" t="inlineStr">
        <is>
          <t>PenCom 2020; BII mobilisation study; ACA/GPCA final close</t>
        </is>
      </c>
      <c r="N79" s="2" t="inlineStr">
        <is>
          <t>M</t>
        </is>
      </c>
      <c r="O79" s="2" t="inlineStr">
        <is>
          <t>Public evidence confirms aggregate Nigerian pension participation in CAPE IV: PenCom reports CPFA capital calls on CAPE IV, and BII states the CAPE IV local-currency vehicle directly attracted local pension funds. Individual PFAs/CPFAs not publicly named.</t>
        </is>
      </c>
      <c r="P79" t="inlineStr">
        <is>
          <t>Private Equity</t>
        </is>
      </c>
      <c r="Q79" t="inlineStr">
        <is>
          <t>Generalist</t>
        </is>
      </c>
      <c r="R79" t="inlineStr">
        <is>
          <t>Fund LP</t>
        </is>
      </c>
      <c r="S79" t="inlineStr">
        <is>
          <t>S147;S262;S263;S264</t>
        </is>
      </c>
    </row>
    <row r="80" ht="23.25" customHeight="1" s="26">
      <c r="A80" s="2" t="inlineStr">
        <is>
          <t>Rwanda Social Security Board (RSSB)</t>
        </is>
      </c>
      <c r="B80" s="2" t="inlineStr">
        <is>
          <t>Rwanda</t>
        </is>
      </c>
      <c r="C80" s="2" t="inlineStr">
        <is>
          <t>Public PF (mandatory)</t>
        </is>
      </c>
      <c r="D80" s="2" t="inlineStr">
        <is>
          <t>Fund LP (anchor)</t>
        </is>
      </c>
      <c r="E80" s="2" t="inlineStr">
        <is>
          <t>Enko Capital (Rwanda subsidiary)</t>
        </is>
      </c>
      <c r="F80" s="2" t="inlineStr">
        <is>
          <t>Rwanda SME Growth Fund</t>
        </is>
      </c>
      <c r="G80" s="2" t="inlineStr">
        <is>
          <t>PE / SME growth (local-currency)</t>
        </is>
      </c>
      <c r="H80" s="2" t="inlineStr">
        <is>
          <t>Rwanda</t>
        </is>
      </c>
      <c r="I80" s="2" t="n">
        <v>2026</v>
      </c>
      <c r="J80" s="2" t="inlineStr">
        <is>
          <t>USD 30m anchor (RWF equivalent) + USD 3m TA facility seed</t>
        </is>
      </c>
      <c r="K80" s="2" t="inlineStr">
        <is>
          <t>USD/RWF</t>
        </is>
      </c>
      <c r="L80" s="2" t="inlineStr">
        <is>
          <t>Press release</t>
        </is>
      </c>
      <c r="M80" s="2" t="inlineStr">
        <is>
          <t>FSDA — RSSB Anchors First Close of USD 100m Rwanda SME Fund (28 April 2026)</t>
        </is>
      </c>
      <c r="N80" s="2" t="inlineStr">
        <is>
          <t>H</t>
        </is>
      </c>
      <c r="O80" s="2" t="inlineStr">
        <is>
          <t>Three regional firsts per RSSB CEO Regis Rugemanshuro: (i) FIRST public pension-fund-led initiative focused exclusively on SME financing; (ii) FIRST permanent capital vehicle anchored by a pension fund; (iii) FIRST pension fund dedicating a TA facility in a fund. Fund target USD 100m. Enko Capital parent has USD 1.6bn AUM. FSDA structured the deal + potential guarantee facility.</t>
        </is>
      </c>
      <c r="P80" t="inlineStr">
        <is>
          <t>Private Equity</t>
        </is>
      </c>
      <c r="Q80" t="inlineStr">
        <is>
          <t>SME Finance</t>
        </is>
      </c>
      <c r="R80" t="inlineStr">
        <is>
          <t>Fund LP</t>
        </is>
      </c>
      <c r="S80" t="inlineStr">
        <is>
          <t>S153;S154;S155</t>
        </is>
      </c>
    </row>
    <row r="81" ht="34.5" customHeight="1" s="26">
      <c r="A81" s="2" t="inlineStr">
        <is>
          <t>Asset Owners Forum of South Africa (AOFSA)</t>
        </is>
      </c>
      <c r="B81" s="2" t="inlineStr">
        <is>
          <t>South Africa</t>
        </is>
      </c>
      <c r="C81" s="2" t="inlineStr">
        <is>
          <t>Pension consortium (12-15 funds)</t>
        </is>
      </c>
      <c r="D81" s="2" t="inlineStr">
        <is>
          <t>Pooled mandate / aggregate member commitments</t>
        </is>
      </c>
      <c r="E81" s="2" t="inlineStr">
        <is>
          <t>Various (mandates allocated to managers)</t>
        </is>
      </c>
      <c r="F81" s="2" t="inlineStr">
        <is>
          <t>SA infrastructure + alts mandates</t>
        </is>
      </c>
      <c r="G81" s="2" t="inlineStr">
        <is>
          <t>Infrastructure / Alts</t>
        </is>
      </c>
      <c r="H81" s="2" t="inlineStr">
        <is>
          <t>Domestic + regional</t>
        </is>
      </c>
      <c r="I81" s="2" t="inlineStr">
        <is>
          <t>2021-ongoing</t>
        </is>
      </c>
      <c r="J81" s="2" t="inlineStr">
        <is>
          <t>R5.7bn / USD 400m+ collectively committed</t>
        </is>
      </c>
      <c r="K81" s="2" t="inlineStr">
        <is>
          <t>USD/ZAR</t>
        </is>
      </c>
      <c r="L81" s="2" t="inlineStr">
        <is>
          <t>Allocator press release / Batseta / USAID + MiDA + World Bank</t>
        </is>
      </c>
      <c r="M81" s="2" t="inlineStr">
        <is>
          <t>Engineering News 2022; MiDA/USAID AOFSA case materials</t>
        </is>
      </c>
      <c r="N81" s="2" t="inlineStr">
        <is>
          <t>H</t>
        </is>
      </c>
      <c r="O81" s="2" t="inlineStr">
        <is>
          <t>Retained as an aggregate consortium archetype only. Public sources report actual collective AOFSA member commitments; individual member-only rows removed because the public evidence does not allocate the commitments by named member fund.</t>
        </is>
      </c>
      <c r="P81" t="inlineStr">
        <is>
          <t>Real Assets / Infrastructure Equity</t>
        </is>
      </c>
      <c r="Q81" t="inlineStr">
        <is>
          <t>Infrastructure; Multi-Sector</t>
        </is>
      </c>
      <c r="R81" t="inlineStr">
        <is>
          <t>Mandate / Pipeline Only</t>
        </is>
      </c>
      <c r="S81" t="inlineStr">
        <is>
          <t>S158;S156;S175</t>
        </is>
      </c>
    </row>
    <row r="82" ht="23.25" customHeight="1" s="26">
      <c r="A82" s="2" t="inlineStr">
        <is>
          <t>Petra Trust Company (Ghana)</t>
        </is>
      </c>
      <c r="B82" s="2" t="inlineStr">
        <is>
          <t>Ghana</t>
        </is>
      </c>
      <c r="C82" s="2" t="inlineStr">
        <is>
          <t>Tier 2/3 corporate trustee</t>
        </is>
      </c>
      <c r="D82" s="2" t="inlineStr">
        <is>
          <t>Fund LP</t>
        </is>
      </c>
      <c r="E82" s="2" t="inlineStr">
        <is>
          <t>Mirepa Investment Advisors</t>
        </is>
      </c>
      <c r="F82" s="2" t="inlineStr">
        <is>
          <t>Mirepa Capital SME Fund I</t>
        </is>
      </c>
      <c r="G82" s="2" t="inlineStr">
        <is>
          <t>PE / SME growth</t>
        </is>
      </c>
      <c r="H82" s="2" t="inlineStr">
        <is>
          <t>Ghana</t>
        </is>
      </c>
      <c r="I82" s="2" t="n">
        <v>2023</v>
      </c>
      <c r="J82" s="2" t="inlineStr">
        <is>
          <t>Share of GHS 120m initial close</t>
        </is>
      </c>
      <c r="K82" s="2" t="inlineStr">
        <is>
          <t>GHS</t>
        </is>
      </c>
      <c r="L82" s="2" t="inlineStr">
        <is>
          <t>Press release</t>
        </is>
      </c>
      <c r="M82" s="2" t="inlineStr">
        <is>
          <t>Mirepa Investment Advisors press release / The Innovation Spark / B&amp;FT</t>
        </is>
      </c>
      <c r="N82" s="2" t="inlineStr">
        <is>
          <t>H</t>
        </is>
      </c>
      <c r="O82" s="2" t="inlineStr">
        <is>
          <t>Second Ghana fund anchored solely by local investors (after Injaro IGVCF). Petra Trust named alongside Axis Pensions, VCTF, and CAMCOL schemes. Mirepa fund focuses on light manufacturing, technology, cleantech, agribusiness, healthcare, financial services.</t>
        </is>
      </c>
      <c r="P82" t="inlineStr">
        <is>
          <t>Private Equity</t>
        </is>
      </c>
      <c r="Q82" t="inlineStr">
        <is>
          <t>SME Finance; Agriculture / Food Security; Financial Inclusion / Financial Services; Healthcare; Climate / Energy Transition; Digital / Technology</t>
        </is>
      </c>
      <c r="R82" t="inlineStr">
        <is>
          <t>Fund LP</t>
        </is>
      </c>
      <c r="S82" t="inlineStr">
        <is>
          <t>S165;S166;S168</t>
        </is>
      </c>
    </row>
    <row r="83" ht="23.25" customHeight="1" s="26">
      <c r="A83" s="2" t="inlineStr">
        <is>
          <t>Axis Pension Trust</t>
        </is>
      </c>
      <c r="B83" s="2" t="inlineStr">
        <is>
          <t>Ghana</t>
        </is>
      </c>
      <c r="C83" s="2" t="inlineStr">
        <is>
          <t>Tier 2/3 corporate trustee</t>
        </is>
      </c>
      <c r="D83" s="2" t="inlineStr">
        <is>
          <t>Fund LP</t>
        </is>
      </c>
      <c r="E83" s="2" t="inlineStr">
        <is>
          <t>Mirepa Investment Advisors</t>
        </is>
      </c>
      <c r="F83" s="2" t="inlineStr">
        <is>
          <t>Mirepa Capital SME Fund I</t>
        </is>
      </c>
      <c r="G83" s="2" t="inlineStr">
        <is>
          <t>PE / SME growth</t>
        </is>
      </c>
      <c r="H83" s="2" t="inlineStr">
        <is>
          <t>Ghana</t>
        </is>
      </c>
      <c r="I83" s="2" t="n">
        <v>2023</v>
      </c>
      <c r="J83" s="2" t="inlineStr">
        <is>
          <t>Share of GHS 120m initial close</t>
        </is>
      </c>
      <c r="K83" s="2" t="inlineStr">
        <is>
          <t>GHS</t>
        </is>
      </c>
      <c r="L83" s="2" t="inlineStr">
        <is>
          <t>Press release</t>
        </is>
      </c>
      <c r="M83" s="2" t="inlineStr">
        <is>
          <t>Mirepa Investment Advisors press release</t>
        </is>
      </c>
      <c r="N83" s="2" t="inlineStr">
        <is>
          <t>H</t>
        </is>
      </c>
      <c r="O83" s="2" t="inlineStr">
        <is>
          <t>Axis Pensions named LP alongside Petra Trust, VCTF, CAMCOL schemes. Predates Axis's later commitments to GIP Ghana (Apr 2026) and Ci-Gaba FoF (Mar 2026).</t>
        </is>
      </c>
      <c r="P83" t="inlineStr">
        <is>
          <t>Private Equity</t>
        </is>
      </c>
      <c r="Q83" t="inlineStr">
        <is>
          <t>SME Finance</t>
        </is>
      </c>
      <c r="R83" t="inlineStr">
        <is>
          <t>Fund LP</t>
        </is>
      </c>
      <c r="S83" t="inlineStr">
        <is>
          <t>S165;S168</t>
        </is>
      </c>
    </row>
    <row r="84" ht="45.75" customHeight="1" s="26">
      <c r="A84" s="2" t="inlineStr">
        <is>
          <t>Multiple Ghanaian pension schemes (via CAL Asset Management — CAMCOL)</t>
        </is>
      </c>
      <c r="B84" s="2" t="inlineStr">
        <is>
          <t>Ghana</t>
        </is>
      </c>
      <c r="C84" s="2" t="inlineStr">
        <is>
          <t>Pension scheme cohort (via mgr)</t>
        </is>
      </c>
      <c r="D84" s="2" t="inlineStr">
        <is>
          <t>Fund LP (via manager)</t>
        </is>
      </c>
      <c r="E84" s="2" t="inlineStr">
        <is>
          <t>Mirepa Investment Advisors</t>
        </is>
      </c>
      <c r="F84" s="2" t="inlineStr">
        <is>
          <t>Mirepa Capital SME Fund I</t>
        </is>
      </c>
      <c r="G84" s="2" t="inlineStr">
        <is>
          <t>PE / SME growth</t>
        </is>
      </c>
      <c r="H84" s="2" t="inlineStr">
        <is>
          <t>Ghana</t>
        </is>
      </c>
      <c r="I84" s="2" t="n">
        <v>2023</v>
      </c>
      <c r="J84" s="2" t="inlineStr">
        <is>
          <t>Share of GHS 120m initial close</t>
        </is>
      </c>
      <c r="K84" s="2" t="inlineStr">
        <is>
          <t>GHS</t>
        </is>
      </c>
      <c r="L84" s="2" t="inlineStr">
        <is>
          <t>Press release</t>
        </is>
      </c>
      <c r="M84" s="2" t="inlineStr">
        <is>
          <t>Mirepa Investment Advisors press release</t>
        </is>
      </c>
      <c r="N84" s="2" t="inlineStr">
        <is>
          <t>M</t>
        </is>
      </c>
      <c r="O84" s="2" t="inlineStr">
        <is>
          <t>CAL Asset Management Company Limited (CAMCOL) is one of the major Ghanaian pension asset managers. Underlying pension scheme identities not individually disclosed.</t>
        </is>
      </c>
      <c r="P84" t="inlineStr">
        <is>
          <t>Private Equity</t>
        </is>
      </c>
      <c r="Q84" t="inlineStr">
        <is>
          <t>SME Finance</t>
        </is>
      </c>
      <c r="R84" t="inlineStr">
        <is>
          <t>Fund LP</t>
        </is>
      </c>
      <c r="S84" t="inlineStr">
        <is>
          <t>S165;S167;S168</t>
        </is>
      </c>
    </row>
    <row r="85" ht="90.75" customHeight="1" s="26">
      <c r="A85" s="2" t="inlineStr">
        <is>
          <t>Multiple Ghanaian pension funds (Injaro anchor cohort)</t>
        </is>
      </c>
      <c r="B85" s="2" t="inlineStr">
        <is>
          <t>Ghana</t>
        </is>
      </c>
      <c r="C85" s="2" t="inlineStr">
        <is>
          <t>Pension fund cohort</t>
        </is>
      </c>
      <c r="D85" s="2" t="inlineStr">
        <is>
          <t>Fund LP (anchor)</t>
        </is>
      </c>
      <c r="E85" s="2" t="inlineStr">
        <is>
          <t>Injaro Investment Advisors</t>
        </is>
      </c>
      <c r="F85" s="2" t="inlineStr">
        <is>
          <t>Injaro Ghana Venture Capital Fund (IGVCF)</t>
        </is>
      </c>
      <c r="G85" s="2" t="inlineStr">
        <is>
          <t>PE / SME / VC</t>
        </is>
      </c>
      <c r="H85" s="2" t="inlineStr">
        <is>
          <t>Ghana + Côte d'Ivoire</t>
        </is>
      </c>
      <c r="I85" s="2" t="n">
        <v>2023</v>
      </c>
      <c r="J85" s="2" t="inlineStr">
        <is>
          <t>Share of GHS 216m (~USD 17.4m) final close (Dec 2023)</t>
        </is>
      </c>
      <c r="K85" s="2" t="inlineStr">
        <is>
          <t>GHS</t>
        </is>
      </c>
      <c r="L85" s="2" t="inlineStr">
        <is>
          <t>Press release</t>
        </is>
      </c>
      <c r="M85" s="2" t="inlineStr">
        <is>
          <t>AVCA — Injaro announces final close; Africa Global Funds; Africa PE News</t>
        </is>
      </c>
      <c r="N85" s="2" t="inlineStr">
        <is>
          <t>H</t>
        </is>
      </c>
      <c r="O85" s="2" t="inlineStr">
        <is>
          <t>FIRST Ghana fund of its kind anchored by local pension funds (per Injaro press release). Predates Mirepa I (2023) and Ci-Gaba (2026). Specific Ghanaian pension fund names not disclosed in public sources but precedent-setting.</t>
        </is>
      </c>
      <c r="P85" t="inlineStr">
        <is>
          <t>Venture Capital</t>
        </is>
      </c>
      <c r="Q85" t="inlineStr">
        <is>
          <t>SME Finance</t>
        </is>
      </c>
      <c r="R85" t="inlineStr">
        <is>
          <t>Fund LP</t>
        </is>
      </c>
      <c r="S85" t="inlineStr">
        <is>
          <t>S172;S170;S169</t>
        </is>
      </c>
    </row>
    <row r="86" ht="34.5" customHeight="1" s="26">
      <c r="A86" t="inlineStr">
        <is>
          <t>GEPF / PIC (South Africa)</t>
        </is>
      </c>
      <c r="B86" t="inlineStr">
        <is>
          <t>South Africa</t>
        </is>
      </c>
      <c r="C86" t="inlineStr">
        <is>
          <t>Public PF (via asset manager)</t>
        </is>
      </c>
      <c r="D86" t="inlineStr">
        <is>
          <t>Fund LP</t>
        </is>
      </c>
      <c r="E86" t="inlineStr">
        <is>
          <t>Zebu Investment Partners</t>
        </is>
      </c>
      <c r="F86" t="inlineStr">
        <is>
          <t>Africa Food Security Fund (AFSF)</t>
        </is>
      </c>
      <c r="G86" t="inlineStr">
        <is>
          <t>PE / agriculture / food security</t>
        </is>
      </c>
      <c r="H86" t="inlineStr">
        <is>
          <t>Sub-Saharan Africa</t>
        </is>
      </c>
      <c r="I86" t="n">
        <v>2019</v>
      </c>
      <c r="J86" t="inlineStr">
        <is>
          <t>Not disclosed; fund size USD 84m</t>
        </is>
      </c>
      <c r="K86" t="inlineStr">
        <is>
          <t>USD</t>
        </is>
      </c>
      <c r="L86" t="inlineStr">
        <is>
          <t>DFI / fund close announcement</t>
        </is>
      </c>
      <c r="M86" t="inlineStr">
        <is>
          <t>DGGF news release, Jan 2019</t>
        </is>
      </c>
      <c r="N86" t="inlineStr">
        <is>
          <t>H</t>
        </is>
      </c>
      <c r="O86" t="inlineStr">
        <is>
          <t>DGGF names PIC on behalf of GEPF among first-round AFSF investors alongside AfDB, CDC Group/BII, DGGF, IFU, and EBID; Kuramo later joined, bringing fund commitments to USD 84m.</t>
        </is>
      </c>
      <c r="P86" t="inlineStr">
        <is>
          <t>Private Equity</t>
        </is>
      </c>
      <c r="Q86" t="inlineStr">
        <is>
          <t>Agriculture / Food Security</t>
        </is>
      </c>
      <c r="R86" t="inlineStr">
        <is>
          <t>Fund LP</t>
        </is>
      </c>
      <c r="S86" t="inlineStr">
        <is>
          <t>S178</t>
        </is>
      </c>
    </row>
    <row r="87" ht="34.5" customHeight="1" s="26">
      <c r="A87" t="inlineStr">
        <is>
          <t>Nigeria Sovereign Investment Authority (NSIA)</t>
        </is>
      </c>
      <c r="B87" t="inlineStr">
        <is>
          <t>Nigeria</t>
        </is>
      </c>
      <c r="C87" t="inlineStr">
        <is>
          <t>SWF (FGF)</t>
        </is>
      </c>
      <c r="D87" t="inlineStr">
        <is>
          <t>Fund LP</t>
        </is>
      </c>
      <c r="E87" t="inlineStr">
        <is>
          <t>Alitheia Capital / IDF Capital</t>
        </is>
      </c>
      <c r="F87" t="inlineStr">
        <is>
          <t>Alitheia IDF Fund</t>
        </is>
      </c>
      <c r="G87" t="inlineStr">
        <is>
          <t>PE / gender-lens</t>
        </is>
      </c>
      <c r="H87" t="inlineStr">
        <is>
          <t>Sub-Saharan Africa</t>
        </is>
      </c>
      <c r="I87" t="inlineStr">
        <is>
          <t>2021 or earlier</t>
        </is>
      </c>
      <c r="J87" t="inlineStr">
        <is>
          <t>Not disclosed publicly</t>
        </is>
      </c>
      <c r="K87" t="inlineStr">
        <is>
          <t>USD</t>
        </is>
      </c>
      <c r="L87" t="inlineStr">
        <is>
          <t>NSIA sustainability disclosure</t>
        </is>
      </c>
      <c r="M87" t="inlineStr">
        <is>
          <t>NSIA sustainability article Apr 2026</t>
        </is>
      </c>
      <c r="N87" t="inlineStr">
        <is>
          <t>H</t>
        </is>
      </c>
      <c r="O87" t="inlineStr">
        <is>
          <t>NSIA names Alitheia IDF among investments supporting women-led and women-impacting businesses. Specific NSIA ticket size not publicly disclosed.</t>
        </is>
      </c>
      <c r="P87" t="inlineStr">
        <is>
          <t>Private Equity</t>
        </is>
      </c>
      <c r="Q87" t="inlineStr">
        <is>
          <t>Infrastructure; Gender Lens</t>
        </is>
      </c>
      <c r="R87" t="inlineStr">
        <is>
          <t>Fund LP</t>
        </is>
      </c>
      <c r="S87" t="inlineStr">
        <is>
          <t>S180</t>
        </is>
      </c>
    </row>
    <row r="88" ht="45.75" customHeight="1" s="26">
      <c r="A88" t="inlineStr">
        <is>
          <t>Nigeria Sovereign Investment Authority (NSIA)</t>
        </is>
      </c>
      <c r="B88" t="inlineStr">
        <is>
          <t>Nigeria</t>
        </is>
      </c>
      <c r="C88" t="inlineStr">
        <is>
          <t>SWF (FGF)</t>
        </is>
      </c>
      <c r="D88" t="inlineStr">
        <is>
          <t>Fund LP</t>
        </is>
      </c>
      <c r="E88" t="inlineStr">
        <is>
          <t>Ingressive Capital</t>
        </is>
      </c>
      <c r="F88" t="inlineStr">
        <is>
          <t>Ingressive Capital Fund / funds</t>
        </is>
      </c>
      <c r="G88" t="inlineStr">
        <is>
          <t>VC / technology-enabled SMEs</t>
        </is>
      </c>
      <c r="H88" t="inlineStr">
        <is>
          <t>Africa / Nigeria-led</t>
        </is>
      </c>
      <c r="I88" t="inlineStr">
        <is>
          <t>2023 or earlier</t>
        </is>
      </c>
      <c r="J88" t="inlineStr">
        <is>
          <t>Not disclosed publicly</t>
        </is>
      </c>
      <c r="K88" t="inlineStr">
        <is>
          <t>USD</t>
        </is>
      </c>
      <c r="L88" t="inlineStr">
        <is>
          <t>NSIA sustainability disclosure</t>
        </is>
      </c>
      <c r="M88" t="inlineStr">
        <is>
          <t>NSIA sustainability article Apr 2026</t>
        </is>
      </c>
      <c r="N88" t="inlineStr">
        <is>
          <t>H</t>
        </is>
      </c>
      <c r="O88" t="inlineStr">
        <is>
          <t>NSIA names Ingressive Capital among investments supporting women-led and women-impacting businesses. Public NSIA source does not identify a specific vintage, so retained as platform/fund exposure.</t>
        </is>
      </c>
      <c r="P88" t="inlineStr">
        <is>
          <t>Venture Capital</t>
        </is>
      </c>
      <c r="Q88" t="inlineStr">
        <is>
          <t>Infrastructure; SME Finance; Digital / Technology</t>
        </is>
      </c>
      <c r="R88" t="inlineStr">
        <is>
          <t>Fund LP</t>
        </is>
      </c>
      <c r="S88" t="inlineStr">
        <is>
          <t>S180</t>
        </is>
      </c>
    </row>
    <row r="89" ht="34.5" customHeight="1" s="26">
      <c r="A89" t="inlineStr">
        <is>
          <t>Nigeria Sovereign Investment Authority (NSIA)</t>
        </is>
      </c>
      <c r="B89" t="inlineStr">
        <is>
          <t>Nigeria</t>
        </is>
      </c>
      <c r="C89" t="inlineStr">
        <is>
          <t>SWF (FGF)</t>
        </is>
      </c>
      <c r="D89" t="inlineStr">
        <is>
          <t>Fund LP</t>
        </is>
      </c>
      <c r="E89" t="inlineStr">
        <is>
          <t>Verod Capital Management</t>
        </is>
      </c>
      <c r="F89" t="inlineStr">
        <is>
          <t>Verod Growth Fund II</t>
        </is>
      </c>
      <c r="G89" t="inlineStr">
        <is>
          <t>PE / growth equity</t>
        </is>
      </c>
      <c r="H89" t="inlineStr">
        <is>
          <t>West Africa / Nigeria</t>
        </is>
      </c>
      <c r="I89" t="n">
        <v>2017</v>
      </c>
      <c r="J89" t="inlineStr">
        <is>
          <t>USD 5m</t>
        </is>
      </c>
      <c r="K89" t="inlineStr">
        <is>
          <t>USD</t>
        </is>
      </c>
      <c r="L89" t="inlineStr">
        <is>
          <t>NSIA impact report</t>
        </is>
      </c>
      <c r="M89" t="inlineStr">
        <is>
          <t>NSIA Development Impact Report 2021</t>
        </is>
      </c>
      <c r="N89" t="inlineStr">
        <is>
          <t>H</t>
        </is>
      </c>
      <c r="O89" t="inlineStr">
        <is>
          <t>NSIA impact report states the Authority invested USD 5m in Verod Growth Fund II in 2017.</t>
        </is>
      </c>
      <c r="P89" t="inlineStr">
        <is>
          <t>Private Equity</t>
        </is>
      </c>
      <c r="Q89" t="inlineStr">
        <is>
          <t>Infrastructure</t>
        </is>
      </c>
      <c r="R89" t="inlineStr">
        <is>
          <t>Fund LP</t>
        </is>
      </c>
      <c r="S89" t="inlineStr">
        <is>
          <t>S181;S180</t>
        </is>
      </c>
    </row>
    <row r="90" ht="34.5" customHeight="1" s="26">
      <c r="A90" t="inlineStr">
        <is>
          <t>Nigeria Sovereign Investment Authority (NSIA)</t>
        </is>
      </c>
      <c r="B90" t="inlineStr">
        <is>
          <t>Nigeria</t>
        </is>
      </c>
      <c r="C90" t="inlineStr">
        <is>
          <t>SWF (FGF)</t>
        </is>
      </c>
      <c r="D90" t="inlineStr">
        <is>
          <t>Fund LP</t>
        </is>
      </c>
      <c r="E90" t="inlineStr">
        <is>
          <t>Verod Capital Management</t>
        </is>
      </c>
      <c r="F90" t="inlineStr">
        <is>
          <t>Verod Growth Fund III</t>
        </is>
      </c>
      <c r="G90" t="inlineStr">
        <is>
          <t>PE / growth equity</t>
        </is>
      </c>
      <c r="H90" t="inlineStr">
        <is>
          <t>West Africa / Nigeria</t>
        </is>
      </c>
      <c r="I90" t="inlineStr">
        <is>
          <t>2021 or earlier</t>
        </is>
      </c>
      <c r="J90" t="inlineStr">
        <is>
          <t>USD 7.5m commitment</t>
        </is>
      </c>
      <c r="K90" t="inlineStr">
        <is>
          <t>USD</t>
        </is>
      </c>
      <c r="L90" t="inlineStr">
        <is>
          <t>NSIA impact report</t>
        </is>
      </c>
      <c r="M90" t="inlineStr">
        <is>
          <t>NSIA Development Impact Report 2021</t>
        </is>
      </c>
      <c r="N90" t="inlineStr">
        <is>
          <t>H</t>
        </is>
      </c>
      <c r="O90" t="inlineStr">
        <is>
          <t>NSIA impact report states the Authority subsequently invested in Verod Growth Fund III, with 8% of the USD 7.5m commitment disbursed at the time of reporting.</t>
        </is>
      </c>
      <c r="P90" t="inlineStr">
        <is>
          <t>Private Equity</t>
        </is>
      </c>
      <c r="Q90" t="inlineStr">
        <is>
          <t>Infrastructure</t>
        </is>
      </c>
      <c r="R90" t="inlineStr">
        <is>
          <t>Fund LP</t>
        </is>
      </c>
      <c r="S90" t="inlineStr">
        <is>
          <t>S181;S180</t>
        </is>
      </c>
    </row>
    <row r="91" ht="23.25" customHeight="1" s="26">
      <c r="A91" t="inlineStr">
        <is>
          <t>Nigeria Sovereign Investment Authority (NSIA)</t>
        </is>
      </c>
      <c r="B91" t="inlineStr">
        <is>
          <t>Nigeria</t>
        </is>
      </c>
      <c r="C91" t="inlineStr">
        <is>
          <t>SWF (healthcare subsidiary)</t>
        </is>
      </c>
      <c r="D91" t="inlineStr">
        <is>
          <t>Direct / co-investment</t>
        </is>
      </c>
      <c r="F91" t="inlineStr">
        <is>
          <t>MedServe</t>
        </is>
      </c>
      <c r="G91" t="inlineStr">
        <is>
          <t>Direct / Healthcare</t>
        </is>
      </c>
      <c r="H91" t="inlineStr">
        <is>
          <t>Nigeria</t>
        </is>
      </c>
      <c r="I91" t="n">
        <v>2026</v>
      </c>
      <c r="J91" t="inlineStr">
        <is>
          <t>USD 154.1m project; IFC USD 24.5m local-currency financing</t>
        </is>
      </c>
      <c r="K91" t="inlineStr">
        <is>
          <t>USD</t>
        </is>
      </c>
      <c r="L91" t="inlineStr">
        <is>
          <t>IFC press release</t>
        </is>
      </c>
      <c r="M91" t="inlineStr">
        <is>
          <t>IFC-NSIA MedServe financing Feb 2026</t>
        </is>
      </c>
      <c r="N91" t="inlineStr">
        <is>
          <t>H</t>
        </is>
      </c>
      <c r="O91" t="inlineStr">
        <is>
          <t>IFC and NSIA partnered to finance MedServe, NSIA's wholly owned healthcare subsidiary, to scale diagnostic centers, cancer care facilities and cath labs across Nigerian states.</t>
        </is>
      </c>
      <c r="P91" t="inlineStr">
        <is>
          <t>Direct Equity / Strategic Stake</t>
        </is>
      </c>
      <c r="Q91" t="inlineStr">
        <is>
          <t>Healthcare</t>
        </is>
      </c>
      <c r="R91" t="inlineStr">
        <is>
          <t>Direct Investment</t>
        </is>
      </c>
      <c r="S91" t="inlineStr">
        <is>
          <t>S182</t>
        </is>
      </c>
    </row>
    <row r="92" ht="23.25" customHeight="1" s="26">
      <c r="A92" t="inlineStr">
        <is>
          <t>Nigeria Sovereign Investment Authority (NSIA)</t>
        </is>
      </c>
      <c r="B92" t="inlineStr">
        <is>
          <t>Nigeria</t>
        </is>
      </c>
      <c r="C92" t="inlineStr">
        <is>
          <t>SWF (NIF sub-fund)</t>
        </is>
      </c>
      <c r="D92" t="inlineStr">
        <is>
          <t>Platform / direct strategic investment vehicle</t>
        </is>
      </c>
      <c r="E92" t="inlineStr">
        <is>
          <t>Infrastructure Credit Guarantee Company PLC (InfraCredit)</t>
        </is>
      </c>
      <c r="F92" t="inlineStr">
        <is>
          <t>InfraCredit</t>
        </is>
      </c>
      <c r="G92" t="inlineStr">
        <is>
          <t>Infrastructure credit enhancement / guarantees</t>
        </is>
      </c>
      <c r="H92" t="inlineStr">
        <is>
          <t>Nigeria</t>
        </is>
      </c>
      <c r="I92" t="inlineStr">
        <is>
          <t>2016/2017</t>
        </is>
      </c>
      <c r="J92" t="inlineStr">
        <is>
          <t>43.88% ownership interest retained by NSIA at FY2025; capitalization over USD 237m reported in 2023</t>
        </is>
      </c>
      <c r="K92" t="inlineStr">
        <is>
          <t>USD</t>
        </is>
      </c>
      <c r="L92" t="inlineStr">
        <is>
          <t>NSIA portfolio / financial statements</t>
        </is>
      </c>
      <c r="M92" t="inlineStr">
        <is>
          <t>NSIA InfraCredit portfolio; NSIA FY2025 financial statements</t>
        </is>
      </c>
      <c r="N92" t="inlineStr">
        <is>
          <t>H</t>
        </is>
      </c>
      <c r="O92" t="inlineStr">
        <is>
          <t>InfraCredit is a specialised infrastructure credit enhancement facility established by NSIA with GuarantCo/PIDG. NSIA FY2025 statements report a 43.88% retained ownership interest after shareholder changes.</t>
        </is>
      </c>
      <c r="P92" t="inlineStr">
        <is>
          <t>Guarantee / Credit Enhancement</t>
        </is>
      </c>
      <c r="Q92" t="inlineStr">
        <is>
          <t>Infrastructure</t>
        </is>
      </c>
      <c r="R92" t="inlineStr">
        <is>
          <t>Guarantee-backed Instrument</t>
        </is>
      </c>
      <c r="S92" t="inlineStr">
        <is>
          <t>S187;S191;S190</t>
        </is>
      </c>
    </row>
    <row r="93" ht="124.5" customHeight="1" s="26">
      <c r="A93" t="inlineStr">
        <is>
          <t>Nigeria Sovereign Investment Authority (NSIA)</t>
        </is>
      </c>
      <c r="B93" t="inlineStr">
        <is>
          <t>Nigeria</t>
        </is>
      </c>
      <c r="C93" t="inlineStr">
        <is>
          <t>SWF (NIF sub-fund)</t>
        </is>
      </c>
      <c r="D93" t="inlineStr">
        <is>
          <t>Direct / facility anchor</t>
        </is>
      </c>
      <c r="E93" t="inlineStr">
        <is>
          <t>InfraCredit</t>
        </is>
      </c>
      <c r="F93" t="inlineStr">
        <is>
          <t>Construction Finance Warehouse Facility (CFWF)</t>
        </is>
      </c>
      <c r="G93" t="inlineStr">
        <is>
          <t>Infrastructure construction finance / credit enhancement</t>
        </is>
      </c>
      <c r="H93" t="inlineStr">
        <is>
          <t>Nigeria</t>
        </is>
      </c>
      <c r="I93" t="n">
        <v>2023</v>
      </c>
      <c r="J93" t="inlineStr">
        <is>
          <t>NGN 10bn NSIA anchor; target NGN 100bn facility capacity</t>
        </is>
      </c>
      <c r="K93" t="inlineStr">
        <is>
          <t>NGN</t>
        </is>
      </c>
      <c r="L93" t="inlineStr">
        <is>
          <t>InfraCredit press release</t>
        </is>
      </c>
      <c r="M93" t="inlineStr">
        <is>
          <t>InfraCredit CFWF announcement Oct 2023</t>
        </is>
      </c>
      <c r="N93" t="inlineStr">
        <is>
          <t>H</t>
        </is>
      </c>
      <c r="O93" t="inlineStr">
        <is>
          <t>NSIA invested NGN 10bn into a multi-funder revolving construction finance facility developed with InfraCredit to support greenfield infrastructure projects backed by InfraCredit guarantees.</t>
        </is>
      </c>
      <c r="P93" t="inlineStr">
        <is>
          <t>Guarantee / Credit Enhancement</t>
        </is>
      </c>
      <c r="Q93" t="inlineStr">
        <is>
          <t>Infrastructure; Climate / Energy Transition</t>
        </is>
      </c>
      <c r="R93" t="inlineStr">
        <is>
          <t>Guarantee-backed Instrument</t>
        </is>
      </c>
      <c r="S93" t="inlineStr">
        <is>
          <t>S188;S186</t>
        </is>
      </c>
    </row>
    <row r="94" ht="124.5" customHeight="1" s="26">
      <c r="A94" t="inlineStr">
        <is>
          <t>Venture Capital Trust Fund (VCTF) Ghana</t>
        </is>
      </c>
      <c r="B94" t="inlineStr">
        <is>
          <t>Ghana</t>
        </is>
      </c>
      <c r="C94" t="inlineStr">
        <is>
          <t>Government-backed VC fund of funds</t>
        </is>
      </c>
      <c r="D94" t="inlineStr">
        <is>
          <t>Fund LP / Anchor</t>
        </is>
      </c>
      <c r="E94" t="inlineStr">
        <is>
          <t>Oasis Capital Ghana</t>
        </is>
      </c>
      <c r="F94" t="inlineStr">
        <is>
          <t>Oasis Africa VC Fund (OAF)</t>
        </is>
      </c>
      <c r="G94" t="inlineStr">
        <is>
          <t>PE / SME / VC</t>
        </is>
      </c>
      <c r="H94" t="inlineStr">
        <is>
          <t>Ghana + Cote d'Ivoire</t>
        </is>
      </c>
      <c r="I94" t="inlineStr">
        <is>
          <t>2015/2016</t>
        </is>
      </c>
      <c r="J94" t="inlineStr">
        <is>
          <t>USD 2m VCTF commitment; OAF first close USD 27m; final/target size ~USD 50m</t>
        </is>
      </c>
      <c r="K94" t="inlineStr">
        <is>
          <t>USD</t>
        </is>
      </c>
      <c r="L94" t="inlineStr">
        <is>
          <t>Annual report / DFI report / fund announcement</t>
        </is>
      </c>
      <c r="M94" t="inlineStr">
        <is>
          <t>VCTF 2015 Annual Report; DGGF Oasis first-close announcement; DGGF catalytic-capital paper</t>
        </is>
      </c>
      <c r="N94" t="inlineStr">
        <is>
          <t>H</t>
        </is>
      </c>
      <c r="O94" t="inlineStr">
        <is>
          <t>VCTF 2015 annual report states VCTF made a USD 2m commitment to Oasis Africa Fund Limited, Oasis Capital Partners second fund. DGGF later described OAF as Ghana-domiciled to access VCTF government co-investment and noted the structure helped crowd in international DFIs.</t>
        </is>
      </c>
      <c r="P94" t="inlineStr">
        <is>
          <t>Venture Capital</t>
        </is>
      </c>
      <c r="Q94" t="inlineStr">
        <is>
          <t>Infrastructure; SME Finance</t>
        </is>
      </c>
      <c r="R94" t="inlineStr">
        <is>
          <t>Fund LP</t>
        </is>
      </c>
      <c r="S94" t="inlineStr">
        <is>
          <t>S194;S193;S197</t>
        </is>
      </c>
    </row>
    <row r="95" ht="79.5" customHeight="1" s="26">
      <c r="A95" t="inlineStr">
        <is>
          <t>Venture Capital Trust Fund (VCTF) Ghana</t>
        </is>
      </c>
      <c r="B95" t="inlineStr">
        <is>
          <t>Ghana</t>
        </is>
      </c>
      <c r="C95" t="inlineStr">
        <is>
          <t>Government-backed VC fund of funds</t>
        </is>
      </c>
      <c r="D95" t="inlineStr">
        <is>
          <t>Fund LP / Anchor</t>
        </is>
      </c>
      <c r="E95" t="inlineStr">
        <is>
          <t>Mirepa Investment Advisors</t>
        </is>
      </c>
      <c r="F95" t="inlineStr">
        <is>
          <t>Mirepa Capital SME Fund I</t>
        </is>
      </c>
      <c r="G95" t="inlineStr">
        <is>
          <t>PE / SME growth</t>
        </is>
      </c>
      <c r="H95" t="inlineStr">
        <is>
          <t>Ghana</t>
        </is>
      </c>
      <c r="I95" t="n">
        <v>2023</v>
      </c>
      <c r="J95" t="inlineStr">
        <is>
          <t>Part of GHS 120m initial close / reported USD 10.5m VCTF-led investment</t>
        </is>
      </c>
      <c r="K95" t="inlineStr">
        <is>
          <t>GHS / USD</t>
        </is>
      </c>
      <c r="L95" t="inlineStr">
        <is>
          <t>Press / trade press</t>
        </is>
      </c>
      <c r="M95" t="inlineStr">
        <is>
          <t>Mirepa initial-close sources; Afrikan Heroes VCTF lead role</t>
        </is>
      </c>
      <c r="N95" t="inlineStr">
        <is>
          <t>H</t>
        </is>
      </c>
      <c r="O95" t="inlineStr">
        <is>
          <t>VCTF is named in the Mirepa LP group alongside Petra Trust, Axis Pensions and CAMCOL-managed pension schemes; public coverage describes VCTF as leading the investment.</t>
        </is>
      </c>
      <c r="P95" t="inlineStr">
        <is>
          <t>Private Equity</t>
        </is>
      </c>
      <c r="Q95" t="inlineStr">
        <is>
          <t>SME Finance</t>
        </is>
      </c>
      <c r="R95" t="inlineStr">
        <is>
          <t>Fund LP</t>
        </is>
      </c>
      <c r="S95" t="inlineStr">
        <is>
          <t>S168;S167;S165</t>
        </is>
      </c>
    </row>
    <row r="96" ht="34.5" customHeight="1" s="26">
      <c r="A96" t="inlineStr">
        <is>
          <t>Venture Capital Trust Fund (VCTF) Ghana</t>
        </is>
      </c>
      <c r="B96" t="inlineStr">
        <is>
          <t>Ghana</t>
        </is>
      </c>
      <c r="C96" t="inlineStr">
        <is>
          <t>Government-backed VC fund of funds</t>
        </is>
      </c>
      <c r="D96" t="inlineStr">
        <is>
          <t>Fund LP / Anchor</t>
        </is>
      </c>
      <c r="E96" t="inlineStr">
        <is>
          <t>Injaro Investment Advisors</t>
        </is>
      </c>
      <c r="F96" t="inlineStr">
        <is>
          <t>Injaro Ghana Venture Capital Fund (IGVCF)</t>
        </is>
      </c>
      <c r="G96" t="inlineStr">
        <is>
          <t>PE / SME / VC</t>
        </is>
      </c>
      <c r="H96" t="inlineStr">
        <is>
          <t>Ghana + Cote d'Ivoire</t>
        </is>
      </c>
      <c r="I96" t="n">
        <v>2023</v>
      </c>
      <c r="J96" t="inlineStr">
        <is>
          <t>Part of GHS 216m final close; VCTF participation disclosed</t>
        </is>
      </c>
      <c r="K96" t="inlineStr">
        <is>
          <t>GHS</t>
        </is>
      </c>
      <c r="L96" t="inlineStr">
        <is>
          <t>Press / impact-report coverage</t>
        </is>
      </c>
      <c r="M96" t="inlineStr">
        <is>
          <t>Injaro final-close sources; Graphic VCTF impact-report coverage</t>
        </is>
      </c>
      <c r="N96" t="inlineStr">
        <is>
          <t>H</t>
        </is>
      </c>
      <c r="O96" t="inlineStr">
        <is>
          <t>VCTF is disclosed as an LP/other named investor for IGVCF, and Graphic coverage of the VCTF impact report identifies Injaro Ghana Venture Fund as one of the impactful funds anchored by VCTF.</t>
        </is>
      </c>
      <c r="P96" t="inlineStr">
        <is>
          <t>Venture Capital</t>
        </is>
      </c>
      <c r="Q96" t="inlineStr">
        <is>
          <t>Infrastructure; SME Finance</t>
        </is>
      </c>
      <c r="R96" t="inlineStr">
        <is>
          <t>Fund LP</t>
        </is>
      </c>
      <c r="S96" t="inlineStr">
        <is>
          <t>S192;S172;S170</t>
        </is>
      </c>
    </row>
    <row r="97" ht="45.75" customHeight="1" s="26">
      <c r="A97" t="inlineStr">
        <is>
          <t>Rwanda Social Security Board (RSSB)</t>
        </is>
      </c>
      <c r="B97" t="inlineStr">
        <is>
          <t>Rwanda</t>
        </is>
      </c>
      <c r="C97" t="inlineStr">
        <is>
          <t>Public PF</t>
        </is>
      </c>
      <c r="D97" t="inlineStr">
        <is>
          <t>Fund LP / Anchor</t>
        </is>
      </c>
      <c r="E97" t="inlineStr">
        <is>
          <t>Admaius Capital Partners</t>
        </is>
      </c>
      <c r="F97" t="inlineStr">
        <is>
          <t>Virunga Africa Fund I</t>
        </is>
      </c>
      <c r="G97" t="inlineStr">
        <is>
          <t>Private equity / growth / multi-sector</t>
        </is>
      </c>
      <c r="H97" t="inlineStr">
        <is>
          <t>Pan-Africa</t>
        </is>
      </c>
      <c r="I97" t="n">
        <v>2021</v>
      </c>
      <c r="J97" t="inlineStr">
        <is>
          <t>Not separately disclosed (fund size USD 250m)</t>
        </is>
      </c>
      <c r="K97" t="inlineStr">
        <is>
          <t>USD</t>
        </is>
      </c>
      <c r="L97" t="inlineStr">
        <is>
          <t>KIFC/RSSB press release / PDF</t>
        </is>
      </c>
      <c r="M97" t="inlineStr">
        <is>
          <t>KIFC/RSSB - Virunga Africa Fund I launch (2 Nov 2021)</t>
        </is>
      </c>
      <c r="N97" t="inlineStr">
        <is>
          <t>H</t>
        </is>
      </c>
      <c r="O97" t="inlineStr">
        <is>
          <t>KIFC/RSSB PDF names QIA and RSSB as anchor/cornerstone investors. Fund managed by Admaius, headquartered in Kigali and domiciled in KIFC; targets healthcare, education, digital infrastructure, financial services, and wider economic transformation across Africa.</t>
        </is>
      </c>
      <c r="P97" t="inlineStr">
        <is>
          <t>Private Equity</t>
        </is>
      </c>
      <c r="Q97" t="inlineStr">
        <is>
          <t>Healthcare; Education; Digital / Technology; Financial Inclusion / Financial Services; Multi-Sector</t>
        </is>
      </c>
      <c r="R97" t="inlineStr">
        <is>
          <t>Fund LP</t>
        </is>
      </c>
      <c r="S97" t="inlineStr">
        <is>
          <t>S199</t>
        </is>
      </c>
    </row>
    <row r="98" ht="57" customHeight="1" s="26">
      <c r="A98" t="inlineStr">
        <is>
          <t>Social Security and National Insurance Trust (SSNIT)</t>
        </is>
      </c>
      <c r="B98" t="inlineStr">
        <is>
          <t>Ghana</t>
        </is>
      </c>
      <c r="C98" t="inlineStr">
        <is>
          <t>Public PF (mandatory)</t>
        </is>
      </c>
      <c r="D98" t="inlineStr">
        <is>
          <t>Fund LP</t>
        </is>
      </c>
      <c r="E98" t="inlineStr">
        <is>
          <t>Actis / Cordiant (co-managed)</t>
        </is>
      </c>
      <c r="F98" t="inlineStr">
        <is>
          <t>Canada Investment Fund for Africa (CIFA)</t>
        </is>
      </c>
      <c r="G98" t="inlineStr">
        <is>
          <t>Private equity</t>
        </is>
      </c>
      <c r="H98" t="inlineStr">
        <is>
          <t>Pan-Africa</t>
        </is>
      </c>
      <c r="I98" t="n">
        <v>2005</v>
      </c>
      <c r="J98" t="inlineStr">
        <is>
          <t>USD 5.04m (June 2005)</t>
        </is>
      </c>
      <c r="K98" t="inlineStr">
        <is>
          <t>USD</t>
        </is>
      </c>
      <c r="L98" t="inlineStr">
        <is>
          <t>Allocator disclosure</t>
        </is>
      </c>
      <c r="M98" t="inlineStr">
        <is>
          <t>World Bank Ghana PE/VC Ecosystem Study (2016); SSNIT investment disclosures</t>
        </is>
      </c>
      <c r="N98" t="inlineStr">
        <is>
          <t>H</t>
        </is>
      </c>
      <c r="O98" t="inlineStr">
        <is>
          <t>CIFA was a USD 212m pan-African PE fund co-managed by Actis and Cordiant, anchored by the Government of Canada (USD 81m) and CDC (USD 40m). SSNIT committed USD 5.04m in June 2005 -- one of the earliest documented Ghanaian pension LP commitments to an international PE fund. Fund is now liquidated.</t>
        </is>
      </c>
      <c r="P98" t="inlineStr">
        <is>
          <t>Private Equity</t>
        </is>
      </c>
      <c r="Q98" t="inlineStr">
        <is>
          <t>Generalist</t>
        </is>
      </c>
      <c r="R98" t="inlineStr">
        <is>
          <t>Fund LP</t>
        </is>
      </c>
      <c r="S98" t="inlineStr">
        <is>
          <t>S204;S203</t>
        </is>
      </c>
    </row>
    <row r="99">
      <c r="A99" t="inlineStr">
        <is>
          <t>Social Security and National Insurance Trust (SSNIT)</t>
        </is>
      </c>
      <c r="B99" t="inlineStr">
        <is>
          <t>Ghana</t>
        </is>
      </c>
      <c r="C99" t="inlineStr">
        <is>
          <t>Public PF (mandatory)</t>
        </is>
      </c>
      <c r="D99" t="inlineStr">
        <is>
          <t>Fund LP</t>
        </is>
      </c>
      <c r="E99" t="inlineStr">
        <is>
          <t>Emerging Capital Partners</t>
        </is>
      </c>
      <c r="F99" t="inlineStr">
        <is>
          <t>ECP Africa Fund III</t>
        </is>
      </c>
      <c r="G99" t="inlineStr">
        <is>
          <t>Private equity / growth equity</t>
        </is>
      </c>
      <c r="H99" t="inlineStr">
        <is>
          <t>Pan-Africa</t>
        </is>
      </c>
      <c r="I99" t="n">
        <v>2008</v>
      </c>
      <c r="J99" t="inlineStr">
        <is>
          <t>Not separately disclosed (fund total USD 613m)</t>
        </is>
      </c>
      <c r="K99" t="inlineStr">
        <is>
          <t>USD</t>
        </is>
      </c>
      <c r="L99" t="inlineStr">
        <is>
          <t>Allocator disclosure / World Bank study</t>
        </is>
      </c>
      <c r="M99" t="inlineStr">
        <is>
          <t>World Bank Ghana PE/VC Ecosystem Study (2016); SSNIT investment disclosures</t>
        </is>
      </c>
      <c r="N99" t="inlineStr">
        <is>
          <t>H</t>
        </is>
      </c>
      <c r="O99" t="inlineStr">
        <is>
          <t>ECP Africa Fund III closed at USD 613m in 2008, one of the largest Africa-focused PE funds at the time. SSNIT named as LP in the World Bank 2016 Ghana PE/VC Ecosystem Study. Other DFI LPs include AfDB, IFC, OPIC, and CDC. ECP sought controlling or influential minority positions across financial services, media, insurance, and food processing.</t>
        </is>
      </c>
      <c r="P99" t="inlineStr">
        <is>
          <t>Private Equity</t>
        </is>
      </c>
      <c r="Q99" t="inlineStr">
        <is>
          <t>Generalist</t>
        </is>
      </c>
      <c r="R99" t="inlineStr">
        <is>
          <t>Fund LP</t>
        </is>
      </c>
      <c r="S99" t="inlineStr">
        <is>
          <t>S203</t>
        </is>
      </c>
    </row>
    <row r="100">
      <c r="A100" t="inlineStr">
        <is>
          <t>Social Security and National Insurance Trust (SSNIT)</t>
        </is>
      </c>
      <c r="B100" t="inlineStr">
        <is>
          <t>Ghana</t>
        </is>
      </c>
      <c r="C100" t="inlineStr">
        <is>
          <t>Public PF (mandatory)</t>
        </is>
      </c>
      <c r="D100" t="inlineStr">
        <is>
          <t>Fund LP</t>
        </is>
      </c>
      <c r="E100" t="inlineStr">
        <is>
          <t>Harith General Partners</t>
        </is>
      </c>
      <c r="F100" t="inlineStr">
        <is>
          <t>Pan-African Infrastructure Development Fund (PAIDF)</t>
        </is>
      </c>
      <c r="G100" t="inlineStr">
        <is>
          <t>Infrastructure</t>
        </is>
      </c>
      <c r="H100" t="inlineStr">
        <is>
          <t>Pan-Africa</t>
        </is>
      </c>
      <c r="I100" t="n">
        <v>2007</v>
      </c>
      <c r="J100" t="inlineStr">
        <is>
          <t>Not separately disclosed (fund total USD 625m)</t>
        </is>
      </c>
      <c r="K100" t="inlineStr">
        <is>
          <t>USD</t>
        </is>
      </c>
      <c r="L100" t="inlineStr">
        <is>
          <t>Allocator disclosure / World Bank study</t>
        </is>
      </c>
      <c r="M100" t="inlineStr">
        <is>
          <t>World Bank Ghana PE/VC Ecosystem Study (2016); SSNIT investment disclosures; AfDB project documentation</t>
        </is>
      </c>
      <c r="N100" t="inlineStr">
        <is>
          <t>M</t>
        </is>
      </c>
      <c r="O100" t="inlineStr">
        <is>
          <t>PAIDF commenced operations September 2007 with USD 625m from nine investors including GEPF (via PIC) and AfDB. Invested in energy, transport, and ICT infrastructure across Africa. SSNIT named as LP in World Bank 2016 Ghana PE/VC Ecosystem Study; SSNIT-specific commitment not separately confirmed by fund disclosures. Fund later sold assets to Harith InfraCo for USD 360m (2023).</t>
        </is>
      </c>
      <c r="P100" t="inlineStr">
        <is>
          <t>Real Assets / Infrastructure Equity</t>
        </is>
      </c>
      <c r="Q100" t="inlineStr">
        <is>
          <t>Infrastructure</t>
        </is>
      </c>
      <c r="R100" t="inlineStr">
        <is>
          <t>Fund LP</t>
        </is>
      </c>
      <c r="S100" t="inlineStr">
        <is>
          <t>S203</t>
        </is>
      </c>
    </row>
    <row r="101">
      <c r="A101" t="inlineStr">
        <is>
          <t>Social Security and National Insurance Trust (SSNIT)</t>
        </is>
      </c>
      <c r="B101" t="inlineStr">
        <is>
          <t>Ghana</t>
        </is>
      </c>
      <c r="C101" t="inlineStr">
        <is>
          <t>Public PF (mandatory)</t>
        </is>
      </c>
      <c r="D101" t="inlineStr">
        <is>
          <t>Fund LP</t>
        </is>
      </c>
      <c r="E101" t="inlineStr">
        <is>
          <t>Fidelity Capital Partners Limited (FCPL)</t>
        </is>
      </c>
      <c r="F101" t="inlineStr">
        <is>
          <t>Fidelity Equity Fund II</t>
        </is>
      </c>
      <c r="G101" t="inlineStr">
        <is>
          <t>Private equity / SME growth</t>
        </is>
      </c>
      <c r="H101" t="inlineStr">
        <is>
          <t>Ghana (up to 20% Liberia/Sierra Leone)</t>
        </is>
      </c>
      <c r="I101" t="n">
        <v>2012</v>
      </c>
      <c r="J101" t="inlineStr">
        <is>
          <t>Not separately disclosed</t>
        </is>
      </c>
      <c r="K101" t="inlineStr">
        <is>
          <t>USD</t>
        </is>
      </c>
      <c r="L101" t="inlineStr">
        <is>
          <t>Allocator disclosure / World Bank study</t>
        </is>
      </c>
      <c r="M101" t="inlineStr">
        <is>
          <t>World Bank Ghana PE/VC Ecosystem Study (2016); SIFEM portfolio listing</t>
        </is>
      </c>
      <c r="N101" t="inlineStr">
        <is>
          <t>M</t>
        </is>
      </c>
      <c r="O101" t="inlineStr">
        <is>
          <t>Fidelity Equity Fund II invests USD 500k-USD 3.5m in unlisted Ghanaian SMEs, managed by Fidelity Capital Partners Limited (FCPL), Accra. SSNIT named as LP in World Bank 2016 Ghana PE/VC Ecosystem Study. SIFEM (Switzerland) also confirmed as LP per their portfolio disclosure. Vintage estimated ~2012; exact close date not publicly confirmed.</t>
        </is>
      </c>
      <c r="P101" t="inlineStr">
        <is>
          <t>Private Equity</t>
        </is>
      </c>
      <c r="Q101" t="inlineStr">
        <is>
          <t>SME Finance</t>
        </is>
      </c>
      <c r="R101" t="inlineStr">
        <is>
          <t>Fund LP</t>
        </is>
      </c>
      <c r="S101" t="inlineStr">
        <is>
          <t>S205;S203</t>
        </is>
      </c>
    </row>
    <row r="102">
      <c r="A102" t="inlineStr">
        <is>
          <t>Botswana Public Officers Pension Fund (BPOPF)</t>
        </is>
      </c>
      <c r="B102" t="inlineStr">
        <is>
          <t>Botswana</t>
        </is>
      </c>
      <c r="C102" t="inlineStr">
        <is>
          <t>Public PF (DB)</t>
        </is>
      </c>
      <c r="D102" t="inlineStr">
        <is>
          <t>Fund LP / Sole anchor (incubation mandate)</t>
        </is>
      </c>
      <c r="E102" t="inlineStr">
        <is>
          <t>Thusano Capital</t>
        </is>
      </c>
      <c r="F102" t="inlineStr">
        <is>
          <t>Thusano Capital Infrastructure Fund (BPOPF mandate)</t>
        </is>
      </c>
      <c r="G102" t="inlineStr">
        <is>
          <t>Infrastructure</t>
        </is>
      </c>
      <c r="H102" t="inlineStr">
        <is>
          <t>Botswana</t>
        </is>
      </c>
      <c r="I102" t="n">
        <v>2020</v>
      </c>
      <c r="J102" t="inlineStr">
        <is>
          <t>BWP 1bn (~USD 71m)</t>
        </is>
      </c>
      <c r="K102" t="inlineStr">
        <is>
          <t>BWP</t>
        </is>
      </c>
      <c r="L102" t="inlineStr">
        <is>
          <t>Manager disclosure</t>
        </is>
      </c>
      <c r="M102" t="inlineStr">
        <is>
          <t>Thusano Capital website; Business Weekly (BPOPF incubation programme reporting)</t>
        </is>
      </c>
      <c r="N102" t="inlineStr">
        <is>
          <t>H</t>
        </is>
      </c>
      <c r="O102" t="inlineStr">
        <is>
          <t>BPOPF incubation-programme vehicle. Thusano Capital website states explicitly: "specializing in the management of a P1 billion infrastructure fund on behalf of BPOPF." Thusano is 100% citizen-owned and managed. Investment sectors: energy (grid-scale and off-grid), logistics, communications (cell towers, data centres, fibre), agriculture (grain storage, cold chain), and bulk infrastructure/real estate. Geographic focus: Botswana. Same incubation structure as Africa Lighthouse Capital Fund I and Aleyo Capital Fund I (both now graduated). Vintage estimated ~2020; exact close date not publicly disclosed. BPOPF is sole LP. 5th Quarter Investment Managers is a further BPOPF incubation beneficiary but has no named fund or disclosed AUM yet -- flag for future monitoring.</t>
        </is>
      </c>
      <c r="P102" t="inlineStr">
        <is>
          <t>Real Assets / Infrastructure Equity</t>
        </is>
      </c>
      <c r="Q102" t="inlineStr">
        <is>
          <t>Infrastructure; Energy; Agriculture / Food Security; Digital / Technology</t>
        </is>
      </c>
      <c r="R102" t="inlineStr">
        <is>
          <t>Fund LP</t>
        </is>
      </c>
      <c r="S102" t="inlineStr">
        <is>
          <t>S207;S208</t>
        </is>
      </c>
    </row>
    <row r="103">
      <c r="A103" t="inlineStr">
        <is>
          <t>Government Institutions Pension Fund (GIPF)</t>
        </is>
      </c>
      <c r="B103" t="inlineStr">
        <is>
          <t>Namibia</t>
        </is>
      </c>
      <c r="C103" t="inlineStr">
        <is>
          <t>Public PF</t>
        </is>
      </c>
      <c r="D103" t="inlineStr">
        <is>
          <t>Fund LP (Fund of Funds)</t>
        </is>
      </c>
      <c r="E103" t="inlineStr">
        <is>
          <t>South Suez Capital (Pty) Ltd</t>
        </is>
      </c>
      <c r="F103" t="inlineStr">
        <is>
          <t>South Suez Africa Fund (I, II + Managed Accounts)</t>
        </is>
      </c>
      <c r="G103" t="inlineStr">
        <is>
          <t>PE Fund of Funds</t>
        </is>
      </c>
      <c r="H103" t="inlineStr">
        <is>
          <t>Sub-Saharan Africa</t>
        </is>
      </c>
      <c r="I103" t="inlineStr">
        <is>
          <t>Multiple vintages (2006–2015 est.)</t>
        </is>
      </c>
      <c r="J103" t="inlineStr">
        <is>
          <t>N$2.75bn (FY2023 market value)</t>
        </is>
      </c>
      <c r="K103" t="inlineStr">
        <is>
          <t>NAD</t>
        </is>
      </c>
      <c r="L103" t="inlineStr">
        <is>
          <t>Annual report</t>
        </is>
      </c>
      <c r="M103" t="inlineStr">
        <is>
          <t>GIPF 2023 Annual Report – investment manager table</t>
        </is>
      </c>
      <c r="N103" t="inlineStr">
        <is>
          <t>H</t>
        </is>
      </c>
      <c r="O103" t="inlineStr">
        <is>
          <t>Pan-African PE FoF (primaries, secondaries, co-investments in Sub-Saharan African PE). Sub-funds: South Suez Africa Fund I, II and Managed Account I &amp; II. N$2,747,787k at FY2023 = ~USD 151m at 18.2 NAD/USD. Reported current market value, not original commitment.</t>
        </is>
      </c>
      <c r="P103" t="inlineStr">
        <is>
          <t>Private Equity</t>
        </is>
      </c>
      <c r="Q103" t="inlineStr">
        <is>
          <t>Multi-Sector (Pan-African PE)</t>
        </is>
      </c>
      <c r="R103" t="inlineStr">
        <is>
          <t>Fund LP</t>
        </is>
      </c>
      <c r="S103" t="inlineStr">
        <is>
          <t>S218;S007</t>
        </is>
      </c>
    </row>
    <row r="104">
      <c r="A104" t="inlineStr">
        <is>
          <t>Government Institutions Pension Fund (GIPF)</t>
        </is>
      </c>
      <c r="B104" t="inlineStr">
        <is>
          <t>Namibia</t>
        </is>
      </c>
      <c r="C104" t="inlineStr">
        <is>
          <t>Public PF</t>
        </is>
      </c>
      <c r="D104" t="inlineStr">
        <is>
          <t>Fund LP</t>
        </is>
      </c>
      <c r="E104" t="inlineStr">
        <is>
          <t>Investec Asset Management (now Ninety-One)</t>
        </is>
      </c>
      <c r="F104" t="inlineStr">
        <is>
          <t>Investec Africa Private Equity Fund 2 L.P.</t>
        </is>
      </c>
      <c r="G104" t="inlineStr">
        <is>
          <t>Private Equity</t>
        </is>
      </c>
      <c r="H104" t="inlineStr">
        <is>
          <t>Pan-African (AU member states + Morocco)</t>
        </is>
      </c>
      <c r="I104" t="inlineStr">
        <is>
          <t>c.2013 (est.)</t>
        </is>
      </c>
      <c r="J104" t="inlineStr">
        <is>
          <t>Undisclosed</t>
        </is>
      </c>
      <c r="K104" t="inlineStr">
        <is>
          <t>USD</t>
        </is>
      </c>
      <c r="L104" t="inlineStr">
        <is>
          <t>Annual report</t>
        </is>
      </c>
      <c r="M104" t="inlineStr">
        <is>
          <t>GIPF 2023 Annual Report – Unlisted Fund Manager descriptions</t>
        </is>
      </c>
      <c r="N104" t="inlineStr">
        <is>
          <t>H</t>
        </is>
      </c>
      <c r="O104" t="inlineStr">
        <is>
          <t>LP in Guernsey-domiciled fund investing in established African businesses (buyouts/growth). Invests across African Union countries and Morocco. Investec Asset Management rebranded as Ninety-One in 2020; fund predates rebrand. Commitment amount not separately disclosed in AR.</t>
        </is>
      </c>
      <c r="P104" t="inlineStr">
        <is>
          <t>Private Equity</t>
        </is>
      </c>
      <c r="Q104" t="inlineStr">
        <is>
          <t>Generalist (Pan-African PE)</t>
        </is>
      </c>
      <c r="R104" t="inlineStr">
        <is>
          <t>Fund LP</t>
        </is>
      </c>
      <c r="S104" t="inlineStr">
        <is>
          <t>S218;S007</t>
        </is>
      </c>
    </row>
    <row r="105">
      <c r="A105" t="inlineStr">
        <is>
          <t>Government Institutions Pension Fund (GIPF)</t>
        </is>
      </c>
      <c r="B105" t="inlineStr">
        <is>
          <t>Namibia</t>
        </is>
      </c>
      <c r="C105" t="inlineStr">
        <is>
          <t>Public PF</t>
        </is>
      </c>
      <c r="D105" t="inlineStr">
        <is>
          <t>Fund LP</t>
        </is>
      </c>
      <c r="E105" t="inlineStr">
        <is>
          <t>Neoma Capital Partners (formerly Abraaj Group)</t>
        </is>
      </c>
      <c r="F105" t="inlineStr">
        <is>
          <t>Neoma Africa Fund III (B) L.P. (previously Abraaj Africa Fund III)</t>
        </is>
      </c>
      <c r="G105" t="inlineStr">
        <is>
          <t>Private Equity</t>
        </is>
      </c>
      <c r="H105" t="inlineStr">
        <is>
          <t>Sub-Saharan Africa</t>
        </is>
      </c>
      <c r="I105" t="inlineStr">
        <is>
          <t>c.2014 (est.; original Abraaj vintage)</t>
        </is>
      </c>
      <c r="J105" t="inlineStr">
        <is>
          <t>Undisclosed</t>
        </is>
      </c>
      <c r="K105" t="inlineStr">
        <is>
          <t>USD</t>
        </is>
      </c>
      <c r="L105" t="inlineStr">
        <is>
          <t>Annual report</t>
        </is>
      </c>
      <c r="M105" t="inlineStr">
        <is>
          <t>GIPF 2023 Annual Report – Unlisted Fund Manager descriptions</t>
        </is>
      </c>
      <c r="N105" t="inlineStr">
        <is>
          <t>H</t>
        </is>
      </c>
      <c r="O105" t="inlineStr">
        <is>
          <t>Cayman Islands LP providing growth capital to Sub-Saharan Africa portfolio companies. Originally managed by Abraaj Group; renamed/transitioned to Neoma Capital Partners after Abraaj bankruptcy in 2018. Classified by GIPF within its unlisted investment programme.</t>
        </is>
      </c>
      <c r="P105" t="inlineStr">
        <is>
          <t>Private Equity</t>
        </is>
      </c>
      <c r="Q105" t="inlineStr">
        <is>
          <t>Generalist (Sub-Saharan Africa PE)</t>
        </is>
      </c>
      <c r="R105" t="inlineStr">
        <is>
          <t>Fund LP</t>
        </is>
      </c>
      <c r="S105" t="inlineStr">
        <is>
          <t>S218;S007</t>
        </is>
      </c>
    </row>
    <row r="106">
      <c r="A106" t="inlineStr">
        <is>
          <t>Government Institutions Pension Fund (GIPF)</t>
        </is>
      </c>
      <c r="B106" t="inlineStr">
        <is>
          <t>Namibia</t>
        </is>
      </c>
      <c r="C106" t="inlineStr">
        <is>
          <t>Public PF</t>
        </is>
      </c>
      <c r="D106" t="inlineStr">
        <is>
          <t>Fund LP</t>
        </is>
      </c>
      <c r="E106" t="inlineStr">
        <is>
          <t>Actis Investment Management Limited</t>
        </is>
      </c>
      <c r="F106" t="inlineStr">
        <is>
          <t>Actis Africa fund (specific fund not named in AR)</t>
        </is>
      </c>
      <c r="G106" t="inlineStr">
        <is>
          <t>Private Equity</t>
        </is>
      </c>
      <c r="H106" t="inlineStr">
        <is>
          <t>Africa (Pan-African)</t>
        </is>
      </c>
      <c r="I106" t="inlineStr">
        <is>
          <t>Unknown</t>
        </is>
      </c>
      <c r="J106" t="inlineStr">
        <is>
          <t>N$101.5m (FY2023 market value)</t>
        </is>
      </c>
      <c r="K106" t="inlineStr">
        <is>
          <t>NAD</t>
        </is>
      </c>
      <c r="L106" t="inlineStr">
        <is>
          <t>Annual report</t>
        </is>
      </c>
      <c r="M106" t="inlineStr">
        <is>
          <t>GIPF 2023 Annual Report – investment manager table</t>
        </is>
      </c>
      <c r="N106" t="inlineStr">
        <is>
          <t>M</t>
        </is>
      </c>
      <c r="O106" t="inlineStr">
        <is>
          <t>Africa Private Equity mandate listed in GIPF FY2023 fund manager table. Current value N$101,534k (~USD 5.6m at 18.2 NAD/USD). Specific fund name not stated; Actis manages multiple Africa-focused vehicles (Africa 3, Energy 4, etc.).</t>
        </is>
      </c>
      <c r="P106" t="inlineStr">
        <is>
          <t>Private Equity</t>
        </is>
      </c>
      <c r="Q106" t="inlineStr">
        <is>
          <t>Multi-Sector</t>
        </is>
      </c>
      <c r="R106" t="inlineStr">
        <is>
          <t>Fund LP</t>
        </is>
      </c>
      <c r="S106" t="inlineStr">
        <is>
          <t>S218;S007</t>
        </is>
      </c>
    </row>
    <row r="107">
      <c r="A107" t="inlineStr">
        <is>
          <t>Government Institutions Pension Fund (GIPF)</t>
        </is>
      </c>
      <c r="B107" t="inlineStr">
        <is>
          <t>Namibia</t>
        </is>
      </c>
      <c r="C107" t="inlineStr">
        <is>
          <t>Public PF</t>
        </is>
      </c>
      <c r="D107" t="inlineStr">
        <is>
          <t>Fund LP</t>
        </is>
      </c>
      <c r="E107" t="inlineStr">
        <is>
          <t>Growthpoint Properties / Investec</t>
        </is>
      </c>
      <c r="F107" t="inlineStr">
        <is>
          <t>Growthpoint Investec Africa Properties Limited</t>
        </is>
      </c>
      <c r="G107" t="inlineStr">
        <is>
          <t>Real Estate</t>
        </is>
      </c>
      <c r="H107" t="inlineStr">
        <is>
          <t>Africa (ex-South Africa): Ghana, Kenya, Morocco, Mozambique, Tanzania, Zambia</t>
        </is>
      </c>
      <c r="I107" t="inlineStr">
        <is>
          <t>c.2016 (est.)</t>
        </is>
      </c>
      <c r="J107" t="inlineStr">
        <is>
          <t>Undisclosed</t>
        </is>
      </c>
      <c r="K107" t="inlineStr">
        <is>
          <t>USD</t>
        </is>
      </c>
      <c r="L107" t="inlineStr">
        <is>
          <t>Annual report</t>
        </is>
      </c>
      <c r="M107" t="inlineStr">
        <is>
          <t>GIPF 2023 Annual Report – Unlisted Fund Manager descriptions</t>
        </is>
      </c>
      <c r="N107" t="inlineStr">
        <is>
          <t>H</t>
        </is>
      </c>
      <c r="O107" t="inlineStr">
        <is>
          <t>Pan-African real estate fund acquiring income-generating commercial real estate across Africa excluding South Africa. Primary targets: Ghana, Kenya, Morocco, Mozambique, Tanzania, Zambia. Secondary: Angola, Botswana, Côte d'Ivoire, Cameroon, Ethiopia, Gabon, Mauritius, Namibia, Nigeria, Rwanda, Uganda. Disclosed in GIPF unlisted investment programme.</t>
        </is>
      </c>
      <c r="P107" t="inlineStr">
        <is>
          <t>Real Estate</t>
        </is>
      </c>
      <c r="Q107" t="inlineStr">
        <is>
          <t>Commercial Real Estate (Pan-African)</t>
        </is>
      </c>
      <c r="R107" t="inlineStr">
        <is>
          <t>Fund LP</t>
        </is>
      </c>
      <c r="S107" t="inlineStr">
        <is>
          <t>S218;S007</t>
        </is>
      </c>
    </row>
    <row r="108">
      <c r="A108" t="inlineStr">
        <is>
          <t>FONSIS</t>
        </is>
      </c>
      <c r="B108" t="inlineStr">
        <is>
          <t>Senegal</t>
        </is>
      </c>
      <c r="C108" t="inlineStr">
        <is>
          <t>Sovereign Wealth Fund</t>
        </is>
      </c>
      <c r="D108" t="inlineStr">
        <is>
          <t>Fund LP / Co-founder</t>
        </is>
      </c>
      <c r="E108" t="inlineStr">
        <is>
          <t>I&amp;P (Investisseurs &amp; Partenaires) / Local managers</t>
        </is>
      </c>
      <c r="F108" t="inlineStr">
        <is>
          <t>Teranga Capital</t>
        </is>
      </c>
      <c r="G108" t="inlineStr">
        <is>
          <t>Private Equity / Impact</t>
        </is>
      </c>
      <c r="H108" t="inlineStr">
        <is>
          <t>Domestic (Senegal)</t>
        </is>
      </c>
      <c r="I108" t="inlineStr">
        <is>
          <t>2016</t>
        </is>
      </c>
      <c r="J108" t="inlineStr">
        <is>
          <t>Share of CFA 3.2bn initial close (~USD 5.5m total)</t>
        </is>
      </c>
      <c r="K108" t="inlineStr">
        <is>
          <t>XOF</t>
        </is>
      </c>
      <c r="L108" t="inlineStr">
        <is>
          <t>Fund manager website / press</t>
        </is>
      </c>
      <c r="M108" t="inlineStr">
        <is>
          <t>Teranga Capital website; IETP fund launch announcement</t>
        </is>
      </c>
      <c r="N108" t="inlineStr">
        <is>
          <t>H</t>
        </is>
      </c>
      <c r="O108" t="inlineStr">
        <is>
          <t>FONSIS is a founding LP/shareholder alongside I&amp;P (via IPDEV2), Sonatel, SG Senegal, and ASKIA Insurance. Fund targets Senegalese SMEs via impact investing. Total initial raise CFA 3.2bn (~USD 5.5m). FONSIS's individual ticket undisclosed. Additional rounds raised since (CFA 2bn in 2025). Fund created 2016.</t>
        </is>
      </c>
      <c r="P108" t="inlineStr">
        <is>
          <t>Private Equity</t>
        </is>
      </c>
      <c r="Q108" t="inlineStr">
        <is>
          <t>SME Finance / Impact</t>
        </is>
      </c>
      <c r="R108" t="inlineStr">
        <is>
          <t>Fund LP</t>
        </is>
      </c>
      <c r="S108" t="inlineStr">
        <is>
          <t>S233</t>
        </is>
      </c>
    </row>
    <row r="109">
      <c r="A109" t="inlineStr">
        <is>
          <t>CDC Gabon (State pension fund of Gabon)</t>
        </is>
      </c>
      <c r="B109" t="inlineStr">
        <is>
          <t>Gabon</t>
        </is>
      </c>
      <c r="C109" t="inlineStr">
        <is>
          <t>Civil-service PF</t>
        </is>
      </c>
      <c r="D109" t="inlineStr">
        <is>
          <t>Fund LP</t>
        </is>
      </c>
      <c r="E109" t="inlineStr">
        <is>
          <t>Amethis Finance</t>
        </is>
      </c>
      <c r="F109" t="inlineStr">
        <is>
          <t>Amethis West Africa</t>
        </is>
      </c>
      <c r="G109" t="inlineStr">
        <is>
          <t>Private Equity</t>
        </is>
      </c>
      <c r="H109" t="inlineStr">
        <is>
          <t>CIMA zone (Francophone West &amp; Central Africa)</t>
        </is>
      </c>
      <c r="I109" t="n">
        <v>2014</v>
      </c>
      <c r="J109" t="inlineStr">
        <is>
          <t>Not disclosed</t>
        </is>
      </c>
      <c r="K109" t="inlineStr">
        <is>
          <t>EUR</t>
        </is>
      </c>
      <c r="L109" t="inlineStr">
        <is>
          <t>Press release</t>
        </is>
      </c>
      <c r="M109" t="inlineStr">
        <is>
          <t>Amethis West Africa creation announcement</t>
        </is>
      </c>
      <c r="N109" t="inlineStr">
        <is>
          <t>H</t>
        </is>
      </c>
      <c r="O109" t="inlineStr">
        <is>
          <t>Named LP alongside BOAD (DFI) and Colina Group (Saham) in Amethis West Africa fund creation press release. First PE fund registered in Francophone Africa; structured under CIMA Code for insurance/pension technical reserves.</t>
        </is>
      </c>
      <c r="P109" t="inlineStr">
        <is>
          <t>Private Equity</t>
        </is>
      </c>
      <c r="Q109" t="inlineStr">
        <is>
          <t>Multi-sector</t>
        </is>
      </c>
      <c r="R109" t="inlineStr">
        <is>
          <t>Fund LP</t>
        </is>
      </c>
      <c r="S109" t="inlineStr">
        <is>
          <t>S234</t>
        </is>
      </c>
    </row>
    <row r="110">
      <c r="A110" t="inlineStr">
        <is>
          <t>Caisse Nationale de Prévoyance Sociale (CNPS-CI)</t>
        </is>
      </c>
      <c r="B110" t="inlineStr">
        <is>
          <t>Côte d'Ivoire</t>
        </is>
      </c>
      <c r="C110" t="inlineStr">
        <is>
          <t>Public PF</t>
        </is>
      </c>
      <c r="D110" t="inlineStr">
        <is>
          <t>Fund LP</t>
        </is>
      </c>
      <c r="E110" t="inlineStr">
        <is>
          <t>Amethis Finance</t>
        </is>
      </c>
      <c r="F110" t="inlineStr">
        <is>
          <t>Amethis fund (unspecified; likely Amethis West Africa)</t>
        </is>
      </c>
      <c r="G110" t="inlineStr">
        <is>
          <t>Private Equity</t>
        </is>
      </c>
      <c r="H110" t="inlineStr">
        <is>
          <t>CIMA zone / Francophone Africa</t>
        </is>
      </c>
      <c r="I110" t="inlineStr">
        <is>
          <t>c.2014 (est.)</t>
        </is>
      </c>
      <c r="J110" t="inlineStr">
        <is>
          <t>Not disclosed</t>
        </is>
      </c>
      <c r="K110" t="inlineStr">
        <is>
          <t>EUR</t>
        </is>
      </c>
      <c r="L110" t="inlineStr">
        <is>
          <t>Reported / Indirect</t>
        </is>
      </c>
      <c r="M110" t="inlineStr">
        <is>
          <t>Pension Policy International / Agence Ecofin</t>
        </is>
      </c>
      <c r="N110" t="inlineStr">
        <is>
          <t>M</t>
        </is>
      </c>
      <c r="O110" t="inlineStr">
        <is>
          <t>CNPS-CI reported to have placed assets in "investment funds such as one launched by Amethis and the Africa50 fund" (Agence Ecofin / Pension Policy International). Specific fund name not confirmed; Amethis West Africa most likely given geographic focus on CIMA zone.</t>
        </is>
      </c>
      <c r="P110" t="inlineStr">
        <is>
          <t>Private Equity</t>
        </is>
      </c>
      <c r="Q110" t="inlineStr">
        <is>
          <t>Multi-sector</t>
        </is>
      </c>
      <c r="R110" t="inlineStr">
        <is>
          <t>Fund LP</t>
        </is>
      </c>
      <c r="S110" t="inlineStr">
        <is>
          <t>S235;S234</t>
        </is>
      </c>
    </row>
    <row r="111">
      <c r="A111" t="inlineStr">
        <is>
          <t>Kenya Power &amp; Lighting Co. Pension Fund (KPLC PF)</t>
        </is>
      </c>
      <c r="B111" t="inlineStr">
        <is>
          <t>Kenya</t>
        </is>
      </c>
      <c r="C111" t="inlineStr">
        <is>
          <t>Occupational PF (parastatal)</t>
        </is>
      </c>
      <c r="D111" t="inlineStr">
        <is>
          <t>Fund LP</t>
        </is>
      </c>
      <c r="E111" t="inlineStr">
        <is>
          <t>Everstrong Capital</t>
        </is>
      </c>
      <c r="F111" t="inlineStr">
        <is>
          <t>Everstrong Kenya Infrastructure Fund (EKIF)</t>
        </is>
      </c>
      <c r="G111" t="inlineStr">
        <is>
          <t>Infrastructure</t>
        </is>
      </c>
      <c r="H111" t="inlineStr">
        <is>
          <t>Kenya / East Africa</t>
        </is>
      </c>
      <c r="I111" t="n">
        <v>2024</v>
      </c>
      <c r="J111" t="inlineStr">
        <is>
          <t>9000000</t>
        </is>
      </c>
      <c r="K111" t="inlineStr">
        <is>
          <t>USD</t>
        </is>
      </c>
      <c r="L111" t="inlineStr">
        <is>
          <t>Press release</t>
        </is>
      </c>
      <c r="M111" t="inlineStr">
        <is>
          <t>APSA / Prosper Africa MiDA campaign release</t>
        </is>
      </c>
      <c r="N111" t="inlineStr">
        <is>
          <t>H</t>
        </is>
      </c>
      <c r="O111" t="inlineStr">
        <is>
          <t>USD 9m commitment via KEPFIC pioneer membership; part of USD 94m+ U.S.-Kenyan-South African pension campaign facilitated by MiDA Advisors / USAID INVEST. EKIF targets energy, transport, ICT, water, social infrastructure equity in Kenya &amp; East Africa.</t>
        </is>
      </c>
      <c r="P111" t="inlineStr">
        <is>
          <t>Infrastructure</t>
        </is>
      </c>
      <c r="Q111" t="inlineStr">
        <is>
          <t>Multi-sector Infrastructure</t>
        </is>
      </c>
      <c r="R111" t="inlineStr">
        <is>
          <t>Fund LP</t>
        </is>
      </c>
      <c r="S111" t="inlineStr">
        <is>
          <t>S236;S162</t>
        </is>
      </c>
    </row>
    <row r="112">
      <c r="A112" t="inlineStr">
        <is>
          <t>Eskom Pension and Provident Fund (EPPF)</t>
        </is>
      </c>
      <c r="B112" t="inlineStr">
        <is>
          <t>South Africa</t>
        </is>
      </c>
      <c r="C112" t="inlineStr">
        <is>
          <t>Corporate PF (parastatal)</t>
        </is>
      </c>
      <c r="D112" t="inlineStr">
        <is>
          <t>Fund LP</t>
        </is>
      </c>
      <c r="E112" t="inlineStr">
        <is>
          <t>Development Partners International (DPI)</t>
        </is>
      </c>
      <c r="F112" t="inlineStr">
        <is>
          <t>African Development Partners III (ADP III)</t>
        </is>
      </c>
      <c r="G112" t="inlineStr">
        <is>
          <t>Private Equity</t>
        </is>
      </c>
      <c r="H112" t="inlineStr">
        <is>
          <t>Pan-Africa</t>
        </is>
      </c>
      <c r="I112" t="n">
        <v>2021</v>
      </c>
      <c r="J112" t="inlineStr">
        <is>
          <t>20000000</t>
        </is>
      </c>
      <c r="K112" t="inlineStr">
        <is>
          <t>USD</t>
        </is>
      </c>
      <c r="L112" t="inlineStr">
        <is>
          <t>Press release</t>
        </is>
      </c>
      <c r="M112" t="inlineStr">
        <is>
          <t>APSA / Prosper Africa MiDA campaign release</t>
        </is>
      </c>
      <c r="N112" t="inlineStr">
        <is>
          <t>H</t>
        </is>
      </c>
      <c r="O112" t="inlineStr">
        <is>
          <t>USD 20m commitment to DPI ADP III (USD 900m pan-African PE fund). Disclosed in MiDA Advisors / USAID-facilitated institutional investor campaign alongside U.S. public pension funds.</t>
        </is>
      </c>
      <c r="P112" t="inlineStr">
        <is>
          <t>Private Equity</t>
        </is>
      </c>
      <c r="Q112" t="inlineStr">
        <is>
          <t>Multi-sector</t>
        </is>
      </c>
      <c r="R112" t="inlineStr">
        <is>
          <t>Fund LP</t>
        </is>
      </c>
      <c r="S112" t="inlineStr">
        <is>
          <t>S236;S162</t>
        </is>
      </c>
    </row>
    <row r="113">
      <c r="A113" t="inlineStr">
        <is>
          <t>KenGen Staff Retirement Benefits Scheme</t>
        </is>
      </c>
      <c r="B113" t="inlineStr">
        <is>
          <t>Kenya</t>
        </is>
      </c>
      <c r="C113" t="inlineStr">
        <is>
          <t>Occupational PF (parastatal)</t>
        </is>
      </c>
      <c r="D113" t="inlineStr">
        <is>
          <t>Fund LP</t>
        </is>
      </c>
      <c r="E113" t="inlineStr">
        <is>
          <t>Development Partners International (DPI)</t>
        </is>
      </c>
      <c r="F113" t="inlineStr">
        <is>
          <t>African Development Partners III (ADP III)</t>
        </is>
      </c>
      <c r="G113" t="inlineStr">
        <is>
          <t>Private Equity</t>
        </is>
      </c>
      <c r="H113" t="inlineStr">
        <is>
          <t>Pan-Africa</t>
        </is>
      </c>
      <c r="I113" t="n">
        <v>2021</v>
      </c>
      <c r="J113" t="inlineStr">
        <is>
          <t>Not disclosed</t>
        </is>
      </c>
      <c r="K113" t="inlineStr">
        <is>
          <t>USD</t>
        </is>
      </c>
      <c r="L113" t="inlineStr">
        <is>
          <t>Press release</t>
        </is>
      </c>
      <c r="M113" t="inlineStr">
        <is>
          <t>APSA / Prosper Africa MiDA campaign release</t>
        </is>
      </c>
      <c r="N113" t="inlineStr">
        <is>
          <t>H</t>
        </is>
      </c>
      <c r="O113" t="inlineStr">
        <is>
          <t>Named investor in DPI ADP III (USD 900m pan-African PE fund) per APSA/Prosper Africa disclosure; amount unspecified. KEPFIC member.</t>
        </is>
      </c>
      <c r="P113" t="inlineStr">
        <is>
          <t>Private Equity</t>
        </is>
      </c>
      <c r="Q113" t="inlineStr">
        <is>
          <t>Multi-sector</t>
        </is>
      </c>
      <c r="R113" t="inlineStr">
        <is>
          <t>Fund LP</t>
        </is>
      </c>
      <c r="S113" t="inlineStr">
        <is>
          <t>S236;S162</t>
        </is>
      </c>
    </row>
    <row r="114">
      <c r="A114" t="inlineStr">
        <is>
          <t>CBK Pension Fund (Kenya, Central Bank of Kenya)</t>
        </is>
      </c>
      <c r="B114" t="inlineStr">
        <is>
          <t>Kenya</t>
        </is>
      </c>
      <c r="C114" t="inlineStr">
        <is>
          <t>Occupational PF (central bank staff)</t>
        </is>
      </c>
      <c r="D114" t="inlineStr">
        <is>
          <t>Fund LP</t>
        </is>
      </c>
      <c r="E114" t="inlineStr">
        <is>
          <t>Development Partners International (DPI)</t>
        </is>
      </c>
      <c r="F114" t="inlineStr">
        <is>
          <t>African Development Partners III (ADP III)</t>
        </is>
      </c>
      <c r="G114" t="inlineStr">
        <is>
          <t>Private Equity</t>
        </is>
      </c>
      <c r="H114" t="inlineStr">
        <is>
          <t>Pan-Africa</t>
        </is>
      </c>
      <c r="I114" t="n">
        <v>2021</v>
      </c>
      <c r="J114" t="inlineStr">
        <is>
          <t>Not disclosed</t>
        </is>
      </c>
      <c r="K114" t="inlineStr">
        <is>
          <t>USD</t>
        </is>
      </c>
      <c r="L114" t="inlineStr">
        <is>
          <t>Press release</t>
        </is>
      </c>
      <c r="M114" t="inlineStr">
        <is>
          <t>APSA / Prosper Africa MiDA campaign release</t>
        </is>
      </c>
      <c r="N114" t="inlineStr">
        <is>
          <t>H</t>
        </is>
      </c>
      <c r="O114" t="inlineStr">
        <is>
          <t>Disclosed as "Banki Kuu Pension Scheme 2021" (Central Bank of Kenya staff scheme) in APSA/Prosper Africa release; named investor in DPI ADP III; amount unspecified. Same institution as AfricInvest FIVE commitment (row 68).</t>
        </is>
      </c>
      <c r="P114" t="inlineStr">
        <is>
          <t>Private Equity</t>
        </is>
      </c>
      <c r="Q114" t="inlineStr">
        <is>
          <t>Multi-sector</t>
        </is>
      </c>
      <c r="R114" t="inlineStr">
        <is>
          <t>Fund LP</t>
        </is>
      </c>
      <c r="S114" t="inlineStr">
        <is>
          <t>S236;S162</t>
        </is>
      </c>
    </row>
    <row r="115">
      <c r="A115" t="inlineStr">
        <is>
          <t>Old Mutual Umbrella Retirement Benefits Scheme (Kenya)</t>
        </is>
      </c>
      <c r="B115" t="inlineStr">
        <is>
          <t>Kenya</t>
        </is>
      </c>
      <c r="C115" t="inlineStr">
        <is>
          <t>Umbrella retirement scheme</t>
        </is>
      </c>
      <c r="D115" t="inlineStr">
        <is>
          <t>Fund LP</t>
        </is>
      </c>
      <c r="E115" t="inlineStr">
        <is>
          <t>Development Partners International (DPI)</t>
        </is>
      </c>
      <c r="F115" t="inlineStr">
        <is>
          <t>African Development Partners III (ADP III)</t>
        </is>
      </c>
      <c r="G115" t="inlineStr">
        <is>
          <t>Private Equity</t>
        </is>
      </c>
      <c r="H115" t="inlineStr">
        <is>
          <t>Pan-Africa</t>
        </is>
      </c>
      <c r="I115" t="n">
        <v>2021</v>
      </c>
      <c r="J115" t="inlineStr">
        <is>
          <t>Not disclosed</t>
        </is>
      </c>
      <c r="K115" t="inlineStr">
        <is>
          <t>USD</t>
        </is>
      </c>
      <c r="L115" t="inlineStr">
        <is>
          <t>Press release</t>
        </is>
      </c>
      <c r="M115" t="inlineStr">
        <is>
          <t>APSA / Prosper Africa MiDA campaign release</t>
        </is>
      </c>
      <c r="N115" t="inlineStr">
        <is>
          <t>H</t>
        </is>
      </c>
      <c r="O115" t="inlineStr">
        <is>
          <t>Named investor in DPI ADP III per APSA/Prosper Africa disclosure; amount unspecified.</t>
        </is>
      </c>
      <c r="P115" t="inlineStr">
        <is>
          <t>Private Equity</t>
        </is>
      </c>
      <c r="Q115" t="inlineStr">
        <is>
          <t>Multi-sector</t>
        </is>
      </c>
      <c r="R115" t="inlineStr">
        <is>
          <t>Fund LP</t>
        </is>
      </c>
      <c r="S115" t="inlineStr">
        <is>
          <t>S236;S162</t>
        </is>
      </c>
    </row>
    <row r="116">
      <c r="A116" t="inlineStr">
        <is>
          <t>Multiple Nigerian PFAs (consortium)</t>
        </is>
      </c>
      <c r="B116" t="inlineStr">
        <is>
          <t>Nigeria</t>
        </is>
      </c>
      <c r="C116" t="inlineStr">
        <is>
          <t>Private PFAs</t>
        </is>
      </c>
      <c r="D116" t="inlineStr">
        <is>
          <t>Fund LP (listed infrastructure debt fund)</t>
        </is>
      </c>
      <c r="E116" t="inlineStr">
        <is>
          <t>Chapel Hill Denham</t>
        </is>
      </c>
      <c r="F116" t="inlineStr">
        <is>
          <t>Nigeria Infrastructure Debt Fund (NIDF)</t>
        </is>
      </c>
      <c r="G116" t="inlineStr">
        <is>
          <t>Infrastructure Debt</t>
        </is>
      </c>
      <c r="H116" t="inlineStr">
        <is>
          <t>Nigeria</t>
        </is>
      </c>
      <c r="I116" t="inlineStr">
        <is>
          <t>2017-2021 (Series 1-6)</t>
        </is>
      </c>
      <c r="J116" t="inlineStr">
        <is>
          <t>Majority of N58bn (~USD 190m) fund</t>
        </is>
      </c>
      <c r="K116" t="inlineStr">
        <is>
          <t>NGN</t>
        </is>
      </c>
      <c r="L116" t="inlineStr">
        <is>
          <t>Fund manager press release</t>
        </is>
      </c>
      <c r="M116" t="inlineStr">
        <is>
          <t>Chapel Hill Denham NIDF Series 6 release</t>
        </is>
      </c>
      <c r="N116" t="inlineStr">
        <is>
          <t>H</t>
        </is>
      </c>
      <c r="O116" t="inlineStr">
        <is>
          <t>22 Nigerian PFAs invested across NIDF Series 1-6 capital raises (2 new PFAs in Series 6). NIDF is the first Naira-denominated listed infrastructure debt fund (NGX/FMDQ); pension funds form the large majority of the investor base. Power, digital infra, transport, gas, renewables, social infra.</t>
        </is>
      </c>
      <c r="P116" t="inlineStr">
        <is>
          <t>Private Credit</t>
        </is>
      </c>
      <c r="Q116" t="inlineStr">
        <is>
          <t>Infrastructure Debt</t>
        </is>
      </c>
      <c r="R116" t="inlineStr">
        <is>
          <t>Fund LP</t>
        </is>
      </c>
      <c r="S116" t="inlineStr">
        <is>
          <t>S237</t>
        </is>
      </c>
    </row>
    <row r="117">
      <c r="A117" t="inlineStr">
        <is>
          <t>KEPFIC (Kenya Pension Funds Investment Consortium)</t>
        </is>
      </c>
      <c r="B117" t="inlineStr">
        <is>
          <t>Kenya</t>
        </is>
      </c>
      <c r="C117" t="inlineStr">
        <is>
          <t>Pension consortium</t>
        </is>
      </c>
      <c r="D117" t="inlineStr">
        <is>
          <t>REIT units (facilitated member commitments)</t>
        </is>
      </c>
      <c r="E117" t="inlineStr">
        <is>
          <t>Acorn Holdings / Acorn Investment Management</t>
        </is>
      </c>
      <c r="F117" t="inlineStr">
        <is>
          <t>Acorn Student Accommodation D-REIT (ASA D-REIT)</t>
        </is>
      </c>
      <c r="G117" t="inlineStr">
        <is>
          <t>Real Estate (student housing)</t>
        </is>
      </c>
      <c r="H117" t="inlineStr">
        <is>
          <t>Kenya</t>
        </is>
      </c>
      <c r="I117" t="n">
        <v>2021</v>
      </c>
      <c r="J117" t="inlineStr">
        <is>
          <t>11000000</t>
        </is>
      </c>
      <c r="K117" t="inlineStr">
        <is>
          <t>USD</t>
        </is>
      </c>
      <c r="L117" t="inlineStr">
        <is>
          <t>IFC case study</t>
        </is>
      </c>
      <c r="M117" t="inlineStr">
        <is>
          <t>IFC "Pooling Pensions in Kenya" story</t>
        </is>
      </c>
      <c r="N117" t="inlineStr">
        <is>
          <t>H</t>
        </is>
      </c>
      <c r="O117" t="inlineStr">
        <is>
          <t>KEPFIC member funds invested USD 11m in Acorn ASA D-REIT (university student housing development REIT); blended return 18.3% reported by IFC. First KEPFIC-named vehicle-level commitment in DB.</t>
        </is>
      </c>
      <c r="P117" t="inlineStr">
        <is>
          <t>Real Estate</t>
        </is>
      </c>
      <c r="Q117" t="inlineStr">
        <is>
          <t>Student Housing</t>
        </is>
      </c>
      <c r="R117" t="inlineStr">
        <is>
          <t>Fund LP</t>
        </is>
      </c>
      <c r="S117" t="inlineStr">
        <is>
          <t>S238;S105</t>
        </is>
      </c>
    </row>
    <row r="118">
      <c r="A118" t="inlineStr">
        <is>
          <t>Public Officers' Defined Contribution Pension Fund (PODCPF)</t>
        </is>
      </c>
      <c r="B118" t="inlineStr">
        <is>
          <t>Lesotho</t>
        </is>
      </c>
      <c r="C118" t="inlineStr">
        <is>
          <t>Public PF</t>
        </is>
      </c>
      <c r="D118" t="inlineStr">
        <is>
          <t>Investment mandate / managed account</t>
        </is>
      </c>
      <c r="E118" t="inlineStr">
        <is>
          <t>Mergence Investment Managers (Lesotho)</t>
        </is>
      </c>
      <c r="F118" t="inlineStr">
        <is>
          <t>Mergence Lesotho unlisted investment mandate (PE &amp; infrastructure)</t>
        </is>
      </c>
      <c r="G118" t="inlineStr">
        <is>
          <t>Private Equity / Infrastructure</t>
        </is>
      </c>
      <c r="H118" t="inlineStr">
        <is>
          <t>Lesotho (80% domestic)</t>
        </is>
      </c>
      <c r="I118" t="inlineStr">
        <is>
          <t>c.2018-ongoing</t>
        </is>
      </c>
      <c r="J118" t="inlineStr">
        <is>
          <t>~3% of USD 616m AUM</t>
        </is>
      </c>
      <c r="K118" t="inlineStr">
        <is>
          <t>USD</t>
        </is>
      </c>
      <c r="L118" t="inlineStr">
        <is>
          <t>Industry study</t>
        </is>
      </c>
      <c r="M118" t="inlineStr">
        <is>
          <t>SAVCA/FSD Africa Southern Africa pension study (2022)</t>
        </is>
      </c>
      <c r="N118" t="inlineStr">
        <is>
          <t>M</t>
        </is>
      </c>
      <c r="O118" t="inlineStr">
        <is>
          <t>PODCPF (largest Lesotho PF, USD 616m AUM) allocates ~3% to private equity via Mergence Investment Managers Lesotho — the only PE manager in the country. Investments span healthcare, property, agriculture, infrastructure, SMEs incl. medical agriculture project and Maseru office building. Specific fund vehicle name not publicly disclosed. Recorded as a mandate, not a fund vehicle: Mergence manages the allocation via direct unlisted deals; no discrete fund vehicle publicly named.</t>
        </is>
      </c>
      <c r="P118" t="inlineStr">
        <is>
          <t>Private Equity</t>
        </is>
      </c>
      <c r="Q118" t="inlineStr">
        <is>
          <t>Multi-sector / SME</t>
        </is>
      </c>
      <c r="R118" t="inlineStr">
        <is>
          <t>Fund LP</t>
        </is>
      </c>
      <c r="S118" t="inlineStr">
        <is>
          <t>S239;S240</t>
        </is>
      </c>
    </row>
    <row r="119">
      <c r="A119" t="inlineStr">
        <is>
          <t>PIC (mgr for GEPF)</t>
        </is>
      </c>
      <c r="B119" t="inlineStr">
        <is>
          <t>South Africa</t>
        </is>
      </c>
      <c r="C119" t="inlineStr">
        <is>
          <t>Public PF asset manager</t>
        </is>
      </c>
      <c r="D119" t="inlineStr">
        <is>
          <t>Fund LP / co-investor</t>
        </is>
      </c>
      <c r="E119" t="inlineStr">
        <is>
          <t>Enko Capital</t>
        </is>
      </c>
      <c r="F119" t="inlineStr">
        <is>
          <t>Enko Impact Credit Fund</t>
        </is>
      </c>
      <c r="G119" t="inlineStr">
        <is>
          <t>Private credit</t>
        </is>
      </c>
      <c r="H119" t="inlineStr">
        <is>
          <t>Sub-Saharan Africa</t>
        </is>
      </c>
      <c r="I119" t="inlineStr">
        <is>
          <t>2025</t>
        </is>
      </c>
      <c r="J119" t="n">
        <v>30000000</v>
      </c>
      <c r="K119" t="inlineStr">
        <is>
          <t>USD</t>
        </is>
      </c>
      <c r="L119" t="inlineStr">
        <is>
          <t>Press release / trade press</t>
        </is>
      </c>
      <c r="M119" t="inlineStr">
        <is>
          <t>BII / PIC partnership announcement; Ecofin Enko first-close coverage</t>
        </is>
      </c>
      <c r="N119" t="inlineStr">
        <is>
          <t>H</t>
        </is>
      </c>
      <c r="O119" t="inlineStr">
        <is>
          <t>PIC committed USD 30m to Enko Impact Credit Fund as the first investment under the BII-PIC partnership. BII committed USD 25m; Ecofin reports a USD 130m first close and names PIC among key investors. Fund provides private credit to mid-sized businesses in Sub-Saharan Africa.</t>
        </is>
      </c>
      <c r="P119" t="inlineStr">
        <is>
          <t>Private Credit</t>
        </is>
      </c>
      <c r="Q119" t="inlineStr">
        <is>
          <t>SME / Mid-market finance</t>
        </is>
      </c>
      <c r="R119" t="inlineStr">
        <is>
          <t>Fund LP</t>
        </is>
      </c>
      <c r="S119" t="inlineStr">
        <is>
          <t>S241;S242</t>
        </is>
      </c>
    </row>
    <row r="120">
      <c r="A120" t="inlineStr">
        <is>
          <t>PIC (mgr for GEPF)</t>
        </is>
      </c>
      <c r="B120" t="inlineStr">
        <is>
          <t>South Africa</t>
        </is>
      </c>
      <c r="C120" t="inlineStr">
        <is>
          <t>Public PF asset manager</t>
        </is>
      </c>
      <c r="D120" t="inlineStr">
        <is>
          <t>Fund LP / anchor investor</t>
        </is>
      </c>
      <c r="E120" t="inlineStr">
        <is>
          <t>Hlayisani Capital</t>
        </is>
      </c>
      <c r="F120" t="inlineStr">
        <is>
          <t>Hlayisani Venture Fund II</t>
        </is>
      </c>
      <c r="G120" t="inlineStr">
        <is>
          <t>VC / growth equity</t>
        </is>
      </c>
      <c r="H120" t="inlineStr">
        <is>
          <t>South Africa</t>
        </is>
      </c>
      <c r="I120" t="inlineStr">
        <is>
          <t>2026</t>
        </is>
      </c>
      <c r="J120" t="inlineStr">
        <is>
          <t>Share of ZAR 500m first close</t>
        </is>
      </c>
      <c r="K120" t="inlineStr">
        <is>
          <t>ZAR</t>
        </is>
      </c>
      <c r="L120" t="inlineStr">
        <is>
          <t>Fund manager press release</t>
        </is>
      </c>
      <c r="M120" t="inlineStr">
        <is>
          <t>Hlayisani Venture Fund II first-close announcement</t>
        </is>
      </c>
      <c r="N120" t="inlineStr">
        <is>
          <t>H</t>
        </is>
      </c>
      <c r="O120" t="inlineStr">
        <is>
          <t>Hlayisani states that Hlayisani Venture Fund II achieved a ZAR 500m first close anchored by PIC and SA SME Fund. Fund backs high-growth South African businesses, including technology-enabled SMEs and platforms.</t>
        </is>
      </c>
      <c r="P120" t="inlineStr">
        <is>
          <t>Venture Capital</t>
        </is>
      </c>
      <c r="Q120" t="inlineStr">
        <is>
          <t>Technology-enabled SMEs</t>
        </is>
      </c>
      <c r="R120" t="inlineStr">
        <is>
          <t>Fund LP</t>
        </is>
      </c>
      <c r="S120" t="inlineStr">
        <is>
          <t>S243</t>
        </is>
      </c>
    </row>
    <row r="121">
      <c r="A121" t="inlineStr">
        <is>
          <t>Motor Industry Retirement Fund (MIRF)</t>
        </is>
      </c>
      <c r="B121" t="inlineStr">
        <is>
          <t>South Africa</t>
        </is>
      </c>
      <c r="C121" t="inlineStr">
        <is>
          <t>Multi-employer PF</t>
        </is>
      </c>
      <c r="D121" t="inlineStr">
        <is>
          <t>Fund-of-funds allocation / initiative anchor</t>
        </is>
      </c>
      <c r="E121" t="inlineStr">
        <is>
          <t>African Women Impact Fund / RisCura</t>
        </is>
      </c>
      <c r="F121" t="inlineStr">
        <is>
          <t>African Women Impact Fund (AWIF)</t>
        </is>
      </c>
      <c r="G121" t="inlineStr">
        <is>
          <t>Fund of Funds / gender-lens private markets</t>
        </is>
      </c>
      <c r="H121" t="inlineStr">
        <is>
          <t>Africa</t>
        </is>
      </c>
      <c r="I121" t="inlineStr">
        <is>
          <t>2022</t>
        </is>
      </c>
      <c r="J121" t="inlineStr">
        <is>
          <t>Share of USD 45m MIRF/Copartes allocation</t>
        </is>
      </c>
      <c r="K121" t="inlineStr">
        <is>
          <t>USD</t>
        </is>
      </c>
      <c r="L121" t="inlineStr">
        <is>
          <t>UN agency press release / advisor case study</t>
        </is>
      </c>
      <c r="M121" t="inlineStr">
        <is>
          <t>UNECA AWIF launch; MiDA AWIF case study</t>
        </is>
      </c>
      <c r="N121" t="inlineStr">
        <is>
          <t>H</t>
        </is>
      </c>
      <c r="O121" t="inlineStr">
        <is>
          <t>UNECA reports MIRF and Copartes Pension Fund brought USD 45m of assets under the African Women Impact Fund initiative, alongside a USD 15m BADEA commitment for a USD 60m first commitment. AWIF is a fund-of-funds/gender-lens platform investing in women fund managers and gender-diverse teams.</t>
        </is>
      </c>
      <c r="P121" t="inlineStr">
        <is>
          <t>Fund of Funds</t>
        </is>
      </c>
      <c r="Q121" t="inlineStr">
        <is>
          <t>Gender-lens / women fund managers</t>
        </is>
      </c>
      <c r="R121" t="inlineStr">
        <is>
          <t>Fund of Funds LP</t>
        </is>
      </c>
      <c r="S121" t="inlineStr">
        <is>
          <t>S244;S245</t>
        </is>
      </c>
    </row>
    <row r="122">
      <c r="A122" t="inlineStr">
        <is>
          <t>Copartes Pension Fund</t>
        </is>
      </c>
      <c r="B122" t="inlineStr">
        <is>
          <t>South Africa</t>
        </is>
      </c>
      <c r="C122" t="inlineStr">
        <is>
          <t>Pension fund</t>
        </is>
      </c>
      <c r="D122" t="inlineStr">
        <is>
          <t>Fund-of-funds allocation / initiative anchor</t>
        </is>
      </c>
      <c r="E122" t="inlineStr">
        <is>
          <t>African Women Impact Fund / RisCura</t>
        </is>
      </c>
      <c r="F122" t="inlineStr">
        <is>
          <t>African Women Impact Fund (AWIF)</t>
        </is>
      </c>
      <c r="G122" t="inlineStr">
        <is>
          <t>Fund of Funds / gender-lens private markets</t>
        </is>
      </c>
      <c r="H122" t="inlineStr">
        <is>
          <t>Africa</t>
        </is>
      </c>
      <c r="I122" t="inlineStr">
        <is>
          <t>2022</t>
        </is>
      </c>
      <c r="J122" t="inlineStr">
        <is>
          <t>Share of USD 45m MIRF/Copartes allocation</t>
        </is>
      </c>
      <c r="K122" t="inlineStr">
        <is>
          <t>USD</t>
        </is>
      </c>
      <c r="L122" t="inlineStr">
        <is>
          <t>UN agency press release / advisor case study</t>
        </is>
      </c>
      <c r="M122" t="inlineStr">
        <is>
          <t>UNECA AWIF launch; MiDA AWIF case study</t>
        </is>
      </c>
      <c r="N122" t="inlineStr">
        <is>
          <t>H</t>
        </is>
      </c>
      <c r="O122" t="inlineStr">
        <is>
          <t>UNECA reports MIRF and Copartes Pension Fund brought USD 45m of assets under the African Women Impact Fund initiative, alongside a USD 15m BADEA commitment for a USD 60m first commitment. Individual split between MIRF and Copartes was not disclosed publicly.</t>
        </is>
      </c>
      <c r="P122" t="inlineStr">
        <is>
          <t>Fund of Funds</t>
        </is>
      </c>
      <c r="Q122" t="inlineStr">
        <is>
          <t>Gender-lens / women fund managers</t>
        </is>
      </c>
      <c r="R122" t="inlineStr">
        <is>
          <t>Fund of Funds LP</t>
        </is>
      </c>
      <c r="S122" t="inlineStr">
        <is>
          <t>S244;S245</t>
        </is>
      </c>
    </row>
    <row r="123">
      <c r="A123" t="inlineStr">
        <is>
          <t>Mineworkers Provident Fund</t>
        </is>
      </c>
      <c r="B123" t="inlineStr">
        <is>
          <t>South Africa</t>
        </is>
      </c>
      <c r="C123" t="inlineStr">
        <is>
          <t>Multi-employer PF</t>
        </is>
      </c>
      <c r="D123" t="inlineStr">
        <is>
          <t>Fund LP</t>
        </is>
      </c>
      <c r="E123" t="inlineStr">
        <is>
          <t>Kholo Capital</t>
        </is>
      </c>
      <c r="F123" t="inlineStr">
        <is>
          <t>Kholo Capital Mezzanine Debt Fund I</t>
        </is>
      </c>
      <c r="G123" t="inlineStr">
        <is>
          <t>Private credit / mezzanine debt</t>
        </is>
      </c>
      <c r="H123" t="inlineStr">
        <is>
          <t>Southern Africa</t>
        </is>
      </c>
      <c r="I123" t="inlineStr">
        <is>
          <t>2023</t>
        </is>
      </c>
      <c r="J123" t="inlineStr">
        <is>
          <t>Share of ZAR 870m first close</t>
        </is>
      </c>
      <c r="K123" t="inlineStr">
        <is>
          <t>ZAR</t>
        </is>
      </c>
      <c r="L123" t="inlineStr">
        <is>
          <t>Trade press</t>
        </is>
      </c>
      <c r="M123" t="inlineStr">
        <is>
          <t>Kholo Capital Mezzanine Debt Fund I first-close coverage</t>
        </is>
      </c>
      <c r="N123" t="inlineStr">
        <is>
          <t>H</t>
        </is>
      </c>
      <c r="O123" t="inlineStr">
        <is>
          <t>Kholo Capital Mezzanine Debt Fund I reached a ZAR 870m first close with institutional investors including Mineworkers Provident Fund and National Fund for Municipal Workers. The fund provides mezzanine/private debt to mid-market businesses in Southern Africa.</t>
        </is>
      </c>
      <c r="P123" t="inlineStr">
        <is>
          <t>Private Credit</t>
        </is>
      </c>
      <c r="Q123" t="inlineStr">
        <is>
          <t>Mid-market finance</t>
        </is>
      </c>
      <c r="R123" t="inlineStr">
        <is>
          <t>Fund LP</t>
        </is>
      </c>
      <c r="S123" t="inlineStr">
        <is>
          <t>S246;S247</t>
        </is>
      </c>
    </row>
    <row r="124">
      <c r="A124" t="inlineStr">
        <is>
          <t>National Fund for Municipal Workers (NFMW)</t>
        </is>
      </c>
      <c r="B124" t="inlineStr">
        <is>
          <t>South Africa</t>
        </is>
      </c>
      <c r="C124" t="inlineStr">
        <is>
          <t>Multi-employer PF</t>
        </is>
      </c>
      <c r="D124" t="inlineStr">
        <is>
          <t>Fund LP</t>
        </is>
      </c>
      <c r="E124" t="inlineStr">
        <is>
          <t>Kholo Capital</t>
        </is>
      </c>
      <c r="F124" t="inlineStr">
        <is>
          <t>Kholo Capital Mezzanine Debt Fund I</t>
        </is>
      </c>
      <c r="G124" t="inlineStr">
        <is>
          <t>Private credit / mezzanine debt</t>
        </is>
      </c>
      <c r="H124" t="inlineStr">
        <is>
          <t>Southern Africa</t>
        </is>
      </c>
      <c r="I124" t="inlineStr">
        <is>
          <t>2023</t>
        </is>
      </c>
      <c r="J124" t="inlineStr">
        <is>
          <t>Share of ZAR 870m first close</t>
        </is>
      </c>
      <c r="K124" t="inlineStr">
        <is>
          <t>ZAR</t>
        </is>
      </c>
      <c r="L124" t="inlineStr">
        <is>
          <t>Trade press</t>
        </is>
      </c>
      <c r="M124" t="inlineStr">
        <is>
          <t>Kholo Capital Mezzanine Debt Fund I first-close coverage</t>
        </is>
      </c>
      <c r="N124" t="inlineStr">
        <is>
          <t>H</t>
        </is>
      </c>
      <c r="O124" t="inlineStr">
        <is>
          <t>Kholo Capital Mezzanine Debt Fund I reached a ZAR 870m first close with institutional investors including Mineworkers Provident Fund and National Fund for Municipal Workers. Later coverage reported final close at about ZAR 1.4bn, but allocator-level final-close amounts were not publicly split.</t>
        </is>
      </c>
      <c r="P124" t="inlineStr">
        <is>
          <t>Private Credit</t>
        </is>
      </c>
      <c r="Q124" t="inlineStr">
        <is>
          <t>Mid-market finance</t>
        </is>
      </c>
      <c r="R124" t="inlineStr">
        <is>
          <t>Fund LP</t>
        </is>
      </c>
      <c r="S124" t="inlineStr">
        <is>
          <t>S246;S247</t>
        </is>
      </c>
    </row>
    <row r="125">
      <c r="A125" t="inlineStr">
        <is>
          <t>Public Service Superannuation Scheme (PSSS)</t>
        </is>
      </c>
      <c r="B125" t="inlineStr">
        <is>
          <t>Kenya</t>
        </is>
      </c>
      <c r="C125" t="inlineStr">
        <is>
          <t>Public PF</t>
        </is>
      </c>
      <c r="D125" t="inlineStr">
        <is>
          <t>Fund LP</t>
        </is>
      </c>
      <c r="E125" t="inlineStr">
        <is>
          <t>Africa50</t>
        </is>
      </c>
      <c r="F125" t="inlineStr">
        <is>
          <t>Africa50 Infrastructure Acceleration Fund (IAF)</t>
        </is>
      </c>
      <c r="G125" t="inlineStr">
        <is>
          <t>Infrastructure</t>
        </is>
      </c>
      <c r="H125" t="inlineStr">
        <is>
          <t>Pan-Africa</t>
        </is>
      </c>
      <c r="I125" t="n">
        <v>2025</v>
      </c>
      <c r="J125" t="inlineStr">
        <is>
          <t>Not disclosed</t>
        </is>
      </c>
      <c r="K125" t="inlineStr">
        <is>
          <t>USD</t>
        </is>
      </c>
      <c r="L125" t="inlineStr">
        <is>
          <t>Press release</t>
        </is>
      </c>
      <c r="M125" t="inlineStr">
        <is>
          <t>Africa50 MCM inaugural investment announcement May 2025</t>
        </is>
      </c>
      <c r="N125" t="inlineStr">
        <is>
          <t>H</t>
        </is>
      </c>
      <c r="O125" t="inlineStr">
        <is>
          <t>Africa50 stated that IAF's inaugural MCM transaction followed recent commitments from DBSA, Axian Group, Public Service Superannuation Fund (Kenya), and CNPS Cameroon, adding to first-close capital. Name reconciled to existing dashboard institution Public Service Superannuation Scheme (PSSS).</t>
        </is>
      </c>
      <c r="P125" t="inlineStr">
        <is>
          <t>Real Assets / Infrastructure Equity</t>
        </is>
      </c>
      <c r="Q125" t="inlineStr">
        <is>
          <t>Infrastructure</t>
        </is>
      </c>
      <c r="R125" t="inlineStr">
        <is>
          <t>Fund LP</t>
        </is>
      </c>
      <c r="S125" t="inlineStr">
        <is>
          <t>S248</t>
        </is>
      </c>
    </row>
    <row r="126">
      <c r="A126" t="inlineStr">
        <is>
          <t>CNPS Cameroon</t>
        </is>
      </c>
      <c r="B126" t="inlineStr">
        <is>
          <t>Cameroon</t>
        </is>
      </c>
      <c r="C126" t="inlineStr">
        <is>
          <t>Public PF</t>
        </is>
      </c>
      <c r="D126" t="inlineStr">
        <is>
          <t>Fund LP</t>
        </is>
      </c>
      <c r="E126" t="inlineStr">
        <is>
          <t>Africa50</t>
        </is>
      </c>
      <c r="F126" t="inlineStr">
        <is>
          <t>Africa50 Infrastructure Acceleration Fund (IAF)</t>
        </is>
      </c>
      <c r="G126" t="inlineStr">
        <is>
          <t>Infrastructure</t>
        </is>
      </c>
      <c r="H126" t="inlineStr">
        <is>
          <t>Pan-Africa</t>
        </is>
      </c>
      <c r="I126" t="n">
        <v>2025</v>
      </c>
      <c r="J126" t="inlineStr">
        <is>
          <t>Not disclosed</t>
        </is>
      </c>
      <c r="K126" t="inlineStr">
        <is>
          <t>USD</t>
        </is>
      </c>
      <c r="L126" t="inlineStr">
        <is>
          <t>Press release</t>
        </is>
      </c>
      <c r="M126" t="inlineStr">
        <is>
          <t>Africa50 MCM inaugural investment announcement May 2025</t>
        </is>
      </c>
      <c r="N126" t="inlineStr">
        <is>
          <t>H</t>
        </is>
      </c>
      <c r="O126" t="inlineStr">
        <is>
          <t>Africa50 stated that IAF's inaugural MCM transaction followed recent commitments from DBSA, Axian Group, Public Service Superannuation Fund (Kenya), and CNPS Cameroon, adding to first-close capital. Distinct from CNPS Cameroon's existing AFC equity-shareholder row.</t>
        </is>
      </c>
      <c r="P126" t="inlineStr">
        <is>
          <t>Real Assets / Infrastructure Equity</t>
        </is>
      </c>
      <c r="Q126" t="inlineStr">
        <is>
          <t>Infrastructure</t>
        </is>
      </c>
      <c r="R126" t="inlineStr">
        <is>
          <t>Fund LP</t>
        </is>
      </c>
      <c r="S126" t="inlineStr">
        <is>
          <t>S248</t>
        </is>
      </c>
    </row>
    <row r="127">
      <c r="A127" t="inlineStr">
        <is>
          <t>GEPF (via PIC)</t>
        </is>
      </c>
      <c r="B127" t="inlineStr">
        <is>
          <t>South Africa</t>
        </is>
      </c>
      <c r="C127" t="inlineStr">
        <is>
          <t>Public PF (via mgr)</t>
        </is>
      </c>
      <c r="D127" t="inlineStr">
        <is>
          <t>Fund LP</t>
        </is>
      </c>
      <c r="E127" t="inlineStr">
        <is>
          <t>Ninety One</t>
        </is>
      </c>
      <c r="F127" t="inlineStr">
        <is>
          <t>Africa Credit Opportunities Fund III (ACO Fund 3)</t>
        </is>
      </c>
      <c r="G127" t="inlineStr">
        <is>
          <t>Private credit</t>
        </is>
      </c>
      <c r="H127" t="inlineStr">
        <is>
          <t>Africa + emerging markets</t>
        </is>
      </c>
      <c r="I127" t="inlineStr">
        <is>
          <t>2024/25</t>
        </is>
      </c>
      <c r="J127" t="inlineStr">
        <is>
          <t>Not disclosed</t>
        </is>
      </c>
      <c r="K127" t="inlineStr">
        <is>
          <t>USD</t>
        </is>
      </c>
      <c r="L127" t="inlineStr">
        <is>
          <t>Annual report / GP press release</t>
        </is>
      </c>
      <c r="M127" t="inlineStr">
        <is>
          <t>GEPF annual report; Ninety One ACO Fund 3 first close</t>
        </is>
      </c>
      <c r="N127" t="inlineStr">
        <is>
          <t>H</t>
        </is>
      </c>
      <c r="O127" t="inlineStr">
        <is>
          <t>GEPF 2025 annual report names an approved allocation to the Ninety One Credit Fund / Africa Credit Opportunities Fund III inside the Pan-African private markets portfolio. Ninety One reported ACO Fund 3 first close at USD 260m with IFC, BII and SIFEM as anchor LPs plus a Standard Bank debt facility; FinDev Canada later committed USD 20m.</t>
        </is>
      </c>
      <c r="P127" t="inlineStr">
        <is>
          <t>Private Credit</t>
        </is>
      </c>
      <c r="Q127" t="inlineStr">
        <is>
          <t>SME / Mid-market finance; Infrastructure</t>
        </is>
      </c>
      <c r="R127" t="inlineStr">
        <is>
          <t>Fund LP</t>
        </is>
      </c>
      <c r="S127" t="inlineStr">
        <is>
          <t>S219;S249;S250</t>
        </is>
      </c>
    </row>
  </sheetData>
  <autoFilter ref="A1:O98"/>
  <conditionalFormatting sqref="N2:N98">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S16"/>
  <sheetViews>
    <sheetView workbookViewId="0">
      <pane ySplit="1" topLeftCell="A2" activePane="bottomLeft" state="frozen"/>
      <selection pane="bottomLeft" activeCell="A1" sqref="A1"/>
    </sheetView>
  </sheetViews>
  <sheetFormatPr baseColWidth="8" defaultRowHeight="15"/>
  <cols>
    <col width="34" customWidth="1" style="26" min="1" max="1"/>
    <col width="16" customWidth="1" style="26" min="2" max="2"/>
    <col width="28" customWidth="1" style="26" min="3" max="3"/>
    <col width="24" customWidth="1" style="26" min="4" max="4"/>
    <col width="32" customWidth="1" style="26" min="5" max="5"/>
    <col width="42" customWidth="1" style="26" min="6" max="6"/>
    <col width="24" customWidth="1" style="26" min="7" max="7"/>
    <col width="22" customWidth="1" style="26" min="8" max="8"/>
    <col width="14" customWidth="1" style="26" min="9" max="9"/>
    <col width="30" customWidth="1" style="26" min="10" max="10"/>
    <col width="12" customWidth="1" style="26" min="11" max="11"/>
    <col width="24" customWidth="1" style="26" min="12" max="12"/>
    <col width="30" customWidth="1" style="26" min="13" max="13"/>
    <col width="18" customWidth="1" style="26" min="14" max="14"/>
    <col width="70" customWidth="1" style="26" min="15" max="15"/>
    <col width="60" customWidth="1" style="26" min="16" max="16"/>
  </cols>
  <sheetData>
    <row r="1" ht="30" customHeight="1" s="26">
      <c r="A1" s="18" t="inlineStr">
        <is>
          <t>Entity / prospective allocator</t>
        </is>
      </c>
      <c r="B1" s="18" t="inlineStr">
        <is>
          <t>Allocator country</t>
        </is>
      </c>
      <c r="C1" s="18" t="inlineStr">
        <is>
          <t>Allocator type</t>
        </is>
      </c>
      <c r="D1" s="18" t="inlineStr">
        <is>
          <t>Status category</t>
        </is>
      </c>
      <c r="E1" s="18" t="inlineStr">
        <is>
          <t>GP or counterparty</t>
        </is>
      </c>
      <c r="F1" s="18" t="inlineStr">
        <is>
          <t>Fund / Vehicle / Deal name</t>
        </is>
      </c>
      <c r="G1" s="18" t="inlineStr">
        <is>
          <t>Asset class</t>
        </is>
      </c>
      <c r="H1" s="18" t="inlineStr">
        <is>
          <t>Geographic focus</t>
        </is>
      </c>
      <c r="I1" s="18" t="inlineStr">
        <is>
          <t>Vintage / Year</t>
        </is>
      </c>
      <c r="J1" s="18" t="inlineStr">
        <is>
          <t>Potential size / target</t>
        </is>
      </c>
      <c r="K1" s="18" t="inlineStr">
        <is>
          <t>Currency</t>
        </is>
      </c>
      <c r="L1" s="18" t="inlineStr">
        <is>
          <t>Disclosure type</t>
        </is>
      </c>
      <c r="M1" s="18" t="inlineStr">
        <is>
          <t>Source (short)</t>
        </is>
      </c>
      <c r="N1" s="18" t="inlineStr">
        <is>
          <t>Pipeline confidence</t>
        </is>
      </c>
      <c r="O1" s="18" t="inlineStr">
        <is>
          <t>Reason not in Commitments Database</t>
        </is>
      </c>
      <c r="P1" s="18" t="inlineStr">
        <is>
          <t>Source URL</t>
        </is>
      </c>
      <c r="Q1" t="inlineStr">
        <is>
          <t>Asset class normalized</t>
        </is>
      </c>
      <c r="R1" t="inlineStr">
        <is>
          <t>Sector / thematic focus</t>
        </is>
      </c>
      <c r="S1" t="inlineStr">
        <is>
          <t>Investment approach</t>
        </is>
      </c>
    </row>
    <row r="2" ht="60" customHeight="1" s="26">
      <c r="A2" s="19" t="inlineStr">
        <is>
          <t>Multiple Nigerian PFAs (expected)</t>
        </is>
      </c>
      <c r="B2" s="19" t="inlineStr">
        <is>
          <t>Nigeria</t>
        </is>
      </c>
      <c r="C2" s="19" t="inlineStr">
        <is>
          <t>PFA cohort</t>
        </is>
      </c>
      <c r="D2" s="19" t="inlineStr">
        <is>
          <t>Expected follow-on</t>
        </is>
      </c>
      <c r="E2" s="19" t="inlineStr">
        <is>
          <t>ARM-Harith Infrastructure Investment</t>
        </is>
      </c>
      <c r="F2" s="19" t="inlineStr">
        <is>
          <t>ARM-Harith Climate and Transition Infrastructure Fund (ACT Fund)</t>
        </is>
      </c>
      <c r="G2" s="19" t="inlineStr">
        <is>
          <t>Infrastructure</t>
        </is>
      </c>
      <c r="H2" s="19" t="inlineStr">
        <is>
          <t>Nigeria + Africa</t>
        </is>
      </c>
      <c r="I2" s="19" t="n">
        <v>2025</v>
      </c>
      <c r="J2" s="19" t="inlineStr">
        <is>
          <t>Targeted GBP ~31m from pensions</t>
        </is>
      </c>
      <c r="K2" s="19" t="inlineStr">
        <is>
          <t>GBP/NGN</t>
        </is>
      </c>
      <c r="L2" s="19" t="inlineStr">
        <is>
          <t>Press release</t>
        </is>
      </c>
      <c r="M2" s="19" t="inlineStr">
        <is>
          <t>FSDAi GBP 10m catalytic commitment April 2025</t>
        </is>
      </c>
      <c r="N2" s="19" t="inlineStr">
        <is>
          <t>M</t>
        </is>
      </c>
      <c r="O2" s="19" t="inlineStr">
        <is>
          <t>FSDAi commitment is structured to unlock pension contributions, but no named or closed PFA LP allocation is disclosed yet.</t>
        </is>
      </c>
      <c r="P2" s="19" t="inlineStr">
        <is>
          <t>https://fsdafrica.org/nairobi-15-april-2025-10am-eat-fsd-africa-investments-fsdai-the-uk-backed-specialist-development-finance-investor-is-investing-gbp-10-million-into-arm-hariths-climate-and-transition-in/</t>
        </is>
      </c>
      <c r="Q2" t="inlineStr">
        <is>
          <t>Real Assets / Infrastructure Equity</t>
        </is>
      </c>
      <c r="R2" t="inlineStr">
        <is>
          <t>Infrastructure; Climate / Energy Transition</t>
        </is>
      </c>
      <c r="S2" t="inlineStr">
        <is>
          <t>Mandate / Pipeline Only</t>
        </is>
      </c>
    </row>
    <row r="3" ht="45" customHeight="1" s="26">
      <c r="A3" s="19" t="inlineStr">
        <is>
          <t>Multiple Nigerian institutional investors (incl. PFAs)</t>
        </is>
      </c>
      <c r="B3" s="19" t="inlineStr">
        <is>
          <t>Nigeria</t>
        </is>
      </c>
      <c r="C3" s="19" t="inlineStr">
        <is>
          <t>Mixed institutional cohort</t>
        </is>
      </c>
      <c r="D3" s="19" t="inlineStr">
        <is>
          <t>Targeted / eligible subscription</t>
        </is>
      </c>
      <c r="E3" s="19" t="inlineStr">
        <is>
          <t>Sahel Capital</t>
        </is>
      </c>
      <c r="F3" s="19" t="inlineStr">
        <is>
          <t>Sahel Agribusiness Private Debt Fund</t>
        </is>
      </c>
      <c r="G3" s="19" t="inlineStr">
        <is>
          <t>Private credit / Agribusiness</t>
        </is>
      </c>
      <c r="H3" s="19" t="inlineStr">
        <is>
          <t>Nigeria</t>
        </is>
      </c>
      <c r="I3" s="19" t="inlineStr">
        <is>
          <t>2026-launched</t>
        </is>
      </c>
      <c r="J3" s="19" t="inlineStr">
        <is>
          <t>NGN 75bn target; NGN 25bn first phase</t>
        </is>
      </c>
      <c r="K3" s="19" t="inlineStr">
        <is>
          <t>NGN</t>
        </is>
      </c>
      <c r="L3" s="19" t="inlineStr">
        <is>
          <t>Launch announcement / trade press</t>
        </is>
      </c>
      <c r="M3" s="19" t="inlineStr">
        <is>
          <t>Ecofin Agency Feb 2026</t>
        </is>
      </c>
      <c r="N3" s="19" t="inlineStr">
        <is>
          <t>M</t>
        </is>
      </c>
      <c r="O3" s="19" t="inlineStr">
        <is>
          <t>Subscription is open to qualified institutional investors including pension funds, but no actual PFA subscription or allocation is disclosed.</t>
        </is>
      </c>
      <c r="P3" s="19" t="inlineStr">
        <is>
          <t>https://www.ecofinagency.com/news-finances/2502-53253-nigerian-investment-firm-sahel-capital-launches-55-million-fund-to-narrow-farm-finance-gap</t>
        </is>
      </c>
      <c r="Q3" t="inlineStr">
        <is>
          <t>Private Credit</t>
        </is>
      </c>
      <c r="R3" t="inlineStr">
        <is>
          <t>Agriculture / Food Security</t>
        </is>
      </c>
      <c r="S3" t="inlineStr">
        <is>
          <t>Mandate / Pipeline Only</t>
        </is>
      </c>
    </row>
    <row r="4" ht="30" customHeight="1" s="26">
      <c r="A4" s="19" t="inlineStr">
        <is>
          <t>NSSF Uganda</t>
        </is>
      </c>
      <c r="B4" s="19" t="inlineStr">
        <is>
          <t>Uganda</t>
        </is>
      </c>
      <c r="C4" s="19" t="inlineStr">
        <is>
          <t>Public PF (mandatory)</t>
        </is>
      </c>
      <c r="D4" s="19" t="inlineStr">
        <is>
          <t>Planned anchor</t>
        </is>
      </c>
      <c r="E4" s="19" t="inlineStr">
        <is>
          <t>TBD manager</t>
        </is>
      </c>
      <c r="F4" s="19" t="inlineStr">
        <is>
          <t>NSSF Uganda Fund of Funds (planned)</t>
        </is>
      </c>
      <c r="G4" s="19" t="inlineStr">
        <is>
          <t>Fund of Funds</t>
        </is>
      </c>
      <c r="H4" s="19" t="inlineStr">
        <is>
          <t>Uganda + EAC</t>
        </is>
      </c>
      <c r="I4" s="19" t="n">
        <v>2026</v>
      </c>
      <c r="J4" s="19" t="inlineStr">
        <is>
          <t>USD 15m+ planned anchor; USD 100m fund target</t>
        </is>
      </c>
      <c r="K4" s="19" t="inlineStr">
        <is>
          <t>USD</t>
        </is>
      </c>
      <c r="L4" s="19" t="inlineStr">
        <is>
          <t>Trade press</t>
        </is>
      </c>
      <c r="M4" s="19" t="inlineStr">
        <is>
          <t>ImpactAlpha planned FoF coverage Apr 2026</t>
        </is>
      </c>
      <c r="N4" s="19" t="inlineStr">
        <is>
          <t>M</t>
        </is>
      </c>
      <c r="O4" s="19" t="inlineStr">
        <is>
          <t>Planned/prospective fund of funds; not a closed commitment as of the audit date.</t>
        </is>
      </c>
      <c r="P4" s="19" t="n"/>
      <c r="Q4" t="inlineStr">
        <is>
          <t>Fund of Funds</t>
        </is>
      </c>
      <c r="R4" t="inlineStr">
        <is>
          <t>Generalist</t>
        </is>
      </c>
      <c r="S4" t="inlineStr">
        <is>
          <t>Mandate / Pipeline Only</t>
        </is>
      </c>
    </row>
    <row r="5" ht="30" customHeight="1" s="26">
      <c r="A5" s="19" t="inlineStr">
        <is>
          <t>The Sovereign Fund of Egypt (TSFE)</t>
        </is>
      </c>
      <c r="B5" s="19" t="inlineStr">
        <is>
          <t>Egypt</t>
        </is>
      </c>
      <c r="C5" s="19" t="inlineStr">
        <is>
          <t>SWF (strategic)</t>
        </is>
      </c>
      <c r="D5" s="19" t="inlineStr">
        <is>
          <t>MoU / mandate</t>
        </is>
      </c>
      <c r="E5" s="19" t="inlineStr">
        <is>
          <t>BlackRock</t>
        </is>
      </c>
      <c r="F5" s="19" t="inlineStr">
        <is>
          <t>Climate / infra mandate</t>
        </is>
      </c>
      <c r="G5" s="19" t="inlineStr">
        <is>
          <t>Infrastructure</t>
        </is>
      </c>
      <c r="H5" s="19" t="inlineStr">
        <is>
          <t>Domestic</t>
        </is>
      </c>
      <c r="I5" s="19" t="inlineStr">
        <is>
          <t>ongoing</t>
        </is>
      </c>
      <c r="J5" s="19" t="inlineStr">
        <is>
          <t>Not disclosed</t>
        </is>
      </c>
      <c r="K5" s="19" t="inlineStr">
        <is>
          <t>USD</t>
        </is>
      </c>
      <c r="L5" s="19" t="inlineStr">
        <is>
          <t>Press release / MoU coverage</t>
        </is>
      </c>
      <c r="M5" s="19" t="inlineStr">
        <is>
          <t>BlackRock-TSFE MoU coverage</t>
        </is>
      </c>
      <c r="N5" s="19" t="inlineStr">
        <is>
          <t>M</t>
        </is>
      </c>
      <c r="O5" s="19" t="inlineStr">
        <is>
          <t>MoU/mandate announced; no specific fund commitment or allocation disclosed.</t>
        </is>
      </c>
      <c r="P5" s="19" t="n"/>
      <c r="Q5" t="inlineStr">
        <is>
          <t>Real Assets / Infrastructure Equity</t>
        </is>
      </c>
      <c r="R5" t="inlineStr">
        <is>
          <t>Infrastructure; Climate / Energy Transition</t>
        </is>
      </c>
      <c r="S5" t="inlineStr">
        <is>
          <t>Mandate / Pipeline Only</t>
        </is>
      </c>
    </row>
    <row r="6" ht="30" customHeight="1" s="26">
      <c r="A6" s="19" t="inlineStr">
        <is>
          <t>Kenya Revenue Authority (KRA) Staff Pension Scheme</t>
        </is>
      </c>
      <c r="B6" s="19" t="inlineStr">
        <is>
          <t>Kenya</t>
        </is>
      </c>
      <c r="C6" s="19" t="inlineStr">
        <is>
          <t>Occupational PF (parastatal)</t>
        </is>
      </c>
      <c r="D6" s="19" t="inlineStr">
        <is>
          <t>Member-only mandate evidence</t>
        </is>
      </c>
      <c r="E6" s="19" t="inlineStr">
        <is>
          <t>KEPFIC consortium / multiple managers</t>
        </is>
      </c>
      <c r="F6" s="19" t="inlineStr">
        <is>
          <t>KEPFIC infrastructure + alts mandates</t>
        </is>
      </c>
      <c r="G6" s="19" t="inlineStr">
        <is>
          <t>Infrastructure / Alts</t>
        </is>
      </c>
      <c r="H6" s="19" t="inlineStr">
        <is>
          <t>Kenya + regional</t>
        </is>
      </c>
      <c r="I6" s="19" t="inlineStr">
        <is>
          <t>ongoing</t>
        </is>
      </c>
      <c r="J6" s="19" t="inlineStr">
        <is>
          <t>Part of KEPFIC aggregate member AUM</t>
        </is>
      </c>
      <c r="K6" s="19" t="inlineStr">
        <is>
          <t>KES</t>
        </is>
      </c>
      <c r="L6" s="19" t="inlineStr">
        <is>
          <t>KEPFIC member listing / IFC 2023</t>
        </is>
      </c>
      <c r="M6" s="19" t="inlineStr">
        <is>
          <t>KEPFIC member evidence</t>
        </is>
      </c>
      <c r="N6" s="19" t="inlineStr">
        <is>
          <t>H</t>
        </is>
      </c>
      <c r="O6" s="19" t="inlineStr">
        <is>
          <t>Named KEPFIC member; membership is useful pipeline context but is not an individual allocator-to-vehicle commitment.</t>
        </is>
      </c>
      <c r="P6" s="19" t="inlineStr">
        <is>
          <t>https://www.ifc.org/en/stories/2023/pooling-pensions-in-kenya</t>
        </is>
      </c>
      <c r="Q6" t="inlineStr">
        <is>
          <t>Real Assets / Infrastructure Equity</t>
        </is>
      </c>
      <c r="R6" t="inlineStr">
        <is>
          <t>Infrastructure; Multi-Sector</t>
        </is>
      </c>
      <c r="S6" t="inlineStr">
        <is>
          <t>Mandate / Pipeline Only</t>
        </is>
      </c>
    </row>
    <row r="7" ht="30" customHeight="1" s="26">
      <c r="A7" s="19" t="inlineStr">
        <is>
          <t>Safaricom Staff Pension Scheme</t>
        </is>
      </c>
      <c r="B7" s="19" t="inlineStr">
        <is>
          <t>Kenya</t>
        </is>
      </c>
      <c r="C7" s="19" t="inlineStr">
        <is>
          <t>Corporate occupational PF (telecoms)</t>
        </is>
      </c>
      <c r="D7" s="19" t="inlineStr">
        <is>
          <t>Member-only mandate evidence</t>
        </is>
      </c>
      <c r="E7" s="19" t="inlineStr">
        <is>
          <t>KEPFIC consortium / multiple managers</t>
        </is>
      </c>
      <c r="F7" s="19" t="inlineStr">
        <is>
          <t>KEPFIC infrastructure + alts mandates</t>
        </is>
      </c>
      <c r="G7" s="19" t="inlineStr">
        <is>
          <t>Infrastructure / Alts</t>
        </is>
      </c>
      <c r="H7" s="19" t="inlineStr">
        <is>
          <t>Kenya + regional</t>
        </is>
      </c>
      <c r="I7" s="19" t="inlineStr">
        <is>
          <t>ongoing</t>
        </is>
      </c>
      <c r="J7" s="19" t="inlineStr">
        <is>
          <t>Part of KEPFIC aggregate member AUM</t>
        </is>
      </c>
      <c r="K7" s="19" t="inlineStr">
        <is>
          <t>KES</t>
        </is>
      </c>
      <c r="L7" s="19" t="inlineStr">
        <is>
          <t>KEPFIC member listing</t>
        </is>
      </c>
      <c r="M7" s="19" t="inlineStr">
        <is>
          <t>KEPFIC member evidence</t>
        </is>
      </c>
      <c r="N7" s="19" t="inlineStr">
        <is>
          <t>H</t>
        </is>
      </c>
      <c r="O7" s="19" t="inlineStr">
        <is>
          <t>Named KEPFIC member; membership is useful pipeline context but is not an individual allocator-to-vehicle commitment.</t>
        </is>
      </c>
      <c r="P7" s="19" t="inlineStr">
        <is>
          <t>https://www.ifc.org/en/stories/2023/pooling-pensions-in-kenya</t>
        </is>
      </c>
      <c r="Q7" t="inlineStr">
        <is>
          <t>Real Assets / Infrastructure Equity</t>
        </is>
      </c>
      <c r="R7" t="inlineStr">
        <is>
          <t>Infrastructure; Multi-Sector</t>
        </is>
      </c>
      <c r="S7" t="inlineStr">
        <is>
          <t>Mandate / Pipeline Only</t>
        </is>
      </c>
    </row>
    <row r="8" ht="30" customHeight="1" s="26">
      <c r="A8" s="19" t="inlineStr">
        <is>
          <t>KenGen Staff Retirement Benefits Scheme</t>
        </is>
      </c>
      <c r="B8" s="19" t="inlineStr">
        <is>
          <t>Kenya</t>
        </is>
      </c>
      <c r="C8" s="19" t="inlineStr">
        <is>
          <t>Occupational PF (parastatal)</t>
        </is>
      </c>
      <c r="D8" s="19" t="inlineStr">
        <is>
          <t>Member-only mandate evidence</t>
        </is>
      </c>
      <c r="E8" s="19" t="inlineStr">
        <is>
          <t>KEPFIC consortium</t>
        </is>
      </c>
      <c r="F8" s="19" t="inlineStr">
        <is>
          <t>KEPFIC infrastructure + alts mandates</t>
        </is>
      </c>
      <c r="G8" s="19" t="inlineStr">
        <is>
          <t>Infrastructure / Alts</t>
        </is>
      </c>
      <c r="H8" s="19" t="inlineStr">
        <is>
          <t>Kenya + regional</t>
        </is>
      </c>
      <c r="I8" s="19" t="inlineStr">
        <is>
          <t>ongoing</t>
        </is>
      </c>
      <c r="J8" s="19" t="inlineStr">
        <is>
          <t>Part of KEPFIC aggregate member AUM</t>
        </is>
      </c>
      <c r="K8" s="19" t="inlineStr">
        <is>
          <t>KES</t>
        </is>
      </c>
      <c r="L8" s="19" t="inlineStr">
        <is>
          <t>KEPFIC member listing</t>
        </is>
      </c>
      <c r="M8" s="19" t="inlineStr">
        <is>
          <t>KEPFIC member evidence</t>
        </is>
      </c>
      <c r="N8" s="19" t="inlineStr">
        <is>
          <t>H</t>
        </is>
      </c>
      <c r="O8" s="19" t="inlineStr">
        <is>
          <t>Named KEPFIC member; membership is useful pipeline context but is not an individual allocator-to-vehicle commitment.</t>
        </is>
      </c>
      <c r="P8" s="19" t="inlineStr">
        <is>
          <t>https://www.ifc.org/en/stories/2023/pooling-pensions-in-kenya</t>
        </is>
      </c>
      <c r="Q8" t="inlineStr">
        <is>
          <t>Real Assets / Infrastructure Equity</t>
        </is>
      </c>
      <c r="R8" t="inlineStr">
        <is>
          <t>Infrastructure</t>
        </is>
      </c>
      <c r="S8" t="inlineStr">
        <is>
          <t>Mandate / Pipeline Only</t>
        </is>
      </c>
    </row>
    <row r="9" ht="30" customHeight="1" s="26">
      <c r="A9" s="19" t="inlineStr">
        <is>
          <t>Kenya Pipeline Company Staff Retirement Benefits Scheme</t>
        </is>
      </c>
      <c r="B9" s="19" t="inlineStr">
        <is>
          <t>Kenya</t>
        </is>
      </c>
      <c r="C9" s="19" t="inlineStr">
        <is>
          <t>Occupational PF (parastatal)</t>
        </is>
      </c>
      <c r="D9" s="19" t="inlineStr">
        <is>
          <t>Member-only mandate evidence</t>
        </is>
      </c>
      <c r="E9" s="19" t="inlineStr">
        <is>
          <t>KEPFIC consortium</t>
        </is>
      </c>
      <c r="F9" s="19" t="inlineStr">
        <is>
          <t>KEPFIC infrastructure + alts mandates</t>
        </is>
      </c>
      <c r="G9" s="19" t="inlineStr">
        <is>
          <t>Infrastructure / Alts</t>
        </is>
      </c>
      <c r="H9" s="19" t="inlineStr">
        <is>
          <t>Kenya + regional</t>
        </is>
      </c>
      <c r="I9" s="19" t="inlineStr">
        <is>
          <t>ongoing</t>
        </is>
      </c>
      <c r="J9" s="19" t="inlineStr">
        <is>
          <t>Part of KEPFIC aggregate member AUM</t>
        </is>
      </c>
      <c r="K9" s="19" t="inlineStr">
        <is>
          <t>KES</t>
        </is>
      </c>
      <c r="L9" s="19" t="inlineStr">
        <is>
          <t>KEPFIC member listing</t>
        </is>
      </c>
      <c r="M9" s="19" t="inlineStr">
        <is>
          <t>KEPFIC member evidence</t>
        </is>
      </c>
      <c r="N9" s="19" t="inlineStr">
        <is>
          <t>H</t>
        </is>
      </c>
      <c r="O9" s="19" t="inlineStr">
        <is>
          <t>Named KEPFIC member; membership is useful pipeline context but is not an individual allocator-to-vehicle commitment.</t>
        </is>
      </c>
      <c r="P9" s="19" t="inlineStr">
        <is>
          <t>https://www.ifc.org/en/stories/2023/pooling-pensions-in-kenya</t>
        </is>
      </c>
      <c r="Q9" t="inlineStr">
        <is>
          <t>Real Assets / Infrastructure Equity</t>
        </is>
      </c>
      <c r="R9" t="inlineStr">
        <is>
          <t>Infrastructure</t>
        </is>
      </c>
      <c r="S9" t="inlineStr">
        <is>
          <t>Mandate / Pipeline Only</t>
        </is>
      </c>
    </row>
    <row r="10" ht="45" customHeight="1" s="26">
      <c r="A10" s="19" t="inlineStr">
        <is>
          <t>National Fund for Municipal Workers (NFMW)</t>
        </is>
      </c>
      <c r="B10" s="19" t="inlineStr">
        <is>
          <t>South Africa</t>
        </is>
      </c>
      <c r="C10" s="19" t="inlineStr">
        <is>
          <t>Multi-employer PF (local gov't)</t>
        </is>
      </c>
      <c r="D10" s="19" t="inlineStr">
        <is>
          <t>Member-only mandate evidence</t>
        </is>
      </c>
      <c r="E10" s="19" t="inlineStr">
        <is>
          <t>AOFSA consortium</t>
        </is>
      </c>
      <c r="F10" s="19" t="inlineStr">
        <is>
          <t>SA infrastructure mandates via AOFSA</t>
        </is>
      </c>
      <c r="G10" s="19" t="inlineStr">
        <is>
          <t>Infrastructure</t>
        </is>
      </c>
      <c r="H10" s="19" t="inlineStr">
        <is>
          <t>South Africa</t>
        </is>
      </c>
      <c r="I10" s="19" t="inlineStr">
        <is>
          <t>ongoing</t>
        </is>
      </c>
      <c r="J10" s="19" t="inlineStr">
        <is>
          <t>Part of AOFSA aggregate commitments</t>
        </is>
      </c>
      <c r="K10" s="19" t="inlineStr">
        <is>
          <t>ZAR</t>
        </is>
      </c>
      <c r="L10" s="19" t="inlineStr">
        <is>
          <t>AOFSA launch coverage / MiDA Advisors</t>
        </is>
      </c>
      <c r="M10" s="19" t="inlineStr">
        <is>
          <t>AOFSA member evidence</t>
        </is>
      </c>
      <c r="N10" s="19" t="inlineStr">
        <is>
          <t>H</t>
        </is>
      </c>
      <c r="O10" s="19" t="inlineStr">
        <is>
          <t>Named AOFSA member; public evidence supports aggregate AOFSA commitments but not a separate member-level commitment record.</t>
        </is>
      </c>
      <c r="P10" s="19" t="inlineStr">
        <is>
          <t>https://www.engineeringnews.co.za/article/aofsa-exceeds-infrastructure-investment-target-as-it-marks-first-anniversary-2022-11-21</t>
        </is>
      </c>
      <c r="Q10" t="inlineStr">
        <is>
          <t>Real Assets / Infrastructure Equity</t>
        </is>
      </c>
      <c r="R10" t="inlineStr">
        <is>
          <t>Infrastructure</t>
        </is>
      </c>
      <c r="S10" t="inlineStr">
        <is>
          <t>Mandate / Pipeline Only</t>
        </is>
      </c>
    </row>
    <row r="11" ht="45" customHeight="1" s="26">
      <c r="A11" s="19" t="inlineStr">
        <is>
          <t>KwaZulu-Natal Joint Municipal Pension Fund (NJMPF)</t>
        </is>
      </c>
      <c r="B11" s="19" t="inlineStr">
        <is>
          <t>South Africa</t>
        </is>
      </c>
      <c r="C11" s="19" t="inlineStr">
        <is>
          <t>Public sector PF (KZN municipalities)</t>
        </is>
      </c>
      <c r="D11" s="19" t="inlineStr">
        <is>
          <t>Member-only mandate evidence</t>
        </is>
      </c>
      <c r="E11" s="19" t="inlineStr">
        <is>
          <t>AOFSA consortium</t>
        </is>
      </c>
      <c r="F11" s="19" t="inlineStr">
        <is>
          <t>SA infrastructure mandates via AOFSA</t>
        </is>
      </c>
      <c r="G11" s="19" t="inlineStr">
        <is>
          <t>Infrastructure</t>
        </is>
      </c>
      <c r="H11" s="19" t="inlineStr">
        <is>
          <t>South Africa</t>
        </is>
      </c>
      <c r="I11" s="19" t="inlineStr">
        <is>
          <t>ongoing</t>
        </is>
      </c>
      <c r="J11" s="19" t="inlineStr">
        <is>
          <t>Part of AOFSA aggregate commitments</t>
        </is>
      </c>
      <c r="K11" s="19" t="inlineStr">
        <is>
          <t>ZAR</t>
        </is>
      </c>
      <c r="L11" s="19" t="inlineStr">
        <is>
          <t>AOFSA launch coverage</t>
        </is>
      </c>
      <c r="M11" s="19" t="inlineStr">
        <is>
          <t>AOFSA member evidence</t>
        </is>
      </c>
      <c r="N11" s="19" t="inlineStr">
        <is>
          <t>H</t>
        </is>
      </c>
      <c r="O11" s="19" t="inlineStr">
        <is>
          <t>Named AOFSA member; public evidence supports aggregate AOFSA commitments but not a separate member-level commitment record.</t>
        </is>
      </c>
      <c r="P11" s="19" t="inlineStr">
        <is>
          <t>https://www.engineeringnews.co.za/article/aofsa-exceeds-infrastructure-investment-target-as-it-marks-first-anniversary-2022-11-21</t>
        </is>
      </c>
      <c r="Q11" t="inlineStr">
        <is>
          <t>Real Assets / Infrastructure Equity</t>
        </is>
      </c>
      <c r="R11" t="inlineStr">
        <is>
          <t>Infrastructure</t>
        </is>
      </c>
      <c r="S11" t="inlineStr">
        <is>
          <t>Mandate / Pipeline Only</t>
        </is>
      </c>
    </row>
    <row r="12" ht="45" customHeight="1" s="26">
      <c r="A12" s="19" t="inlineStr">
        <is>
          <t>KZN Municipal Pension Fund</t>
        </is>
      </c>
      <c r="B12" s="19" t="inlineStr">
        <is>
          <t>South Africa</t>
        </is>
      </c>
      <c r="C12" s="19" t="inlineStr">
        <is>
          <t>Public sector PF (local gov't)</t>
        </is>
      </c>
      <c r="D12" s="19" t="inlineStr">
        <is>
          <t>Member-only mandate evidence</t>
        </is>
      </c>
      <c r="E12" s="19" t="inlineStr">
        <is>
          <t>AOFSA consortium</t>
        </is>
      </c>
      <c r="F12" s="19" t="inlineStr">
        <is>
          <t>SA infrastructure mandates via AOFSA</t>
        </is>
      </c>
      <c r="G12" s="19" t="inlineStr">
        <is>
          <t>Infrastructure</t>
        </is>
      </c>
      <c r="H12" s="19" t="inlineStr">
        <is>
          <t>South Africa</t>
        </is>
      </c>
      <c r="I12" s="19" t="inlineStr">
        <is>
          <t>ongoing</t>
        </is>
      </c>
      <c r="J12" s="19" t="inlineStr">
        <is>
          <t>Part of AOFSA aggregate commitments</t>
        </is>
      </c>
      <c r="K12" s="19" t="inlineStr">
        <is>
          <t>ZAR</t>
        </is>
      </c>
      <c r="L12" s="19" t="inlineStr">
        <is>
          <t>AOFSA launch coverage</t>
        </is>
      </c>
      <c r="M12" s="19" t="inlineStr">
        <is>
          <t>AOFSA member evidence</t>
        </is>
      </c>
      <c r="N12" s="19" t="inlineStr">
        <is>
          <t>H</t>
        </is>
      </c>
      <c r="O12" s="19" t="inlineStr">
        <is>
          <t>Named AOFSA member; public evidence supports aggregate AOFSA commitments but not a separate member-level commitment record.</t>
        </is>
      </c>
      <c r="P12" s="19" t="inlineStr">
        <is>
          <t>https://www.engineeringnews.co.za/article/aofsa-exceeds-infrastructure-investment-target-as-it-marks-first-anniversary-2022-11-21</t>
        </is>
      </c>
      <c r="Q12" t="inlineStr">
        <is>
          <t>Real Assets / Infrastructure Equity</t>
        </is>
      </c>
      <c r="R12" t="inlineStr">
        <is>
          <t>Infrastructure</t>
        </is>
      </c>
      <c r="S12" t="inlineStr">
        <is>
          <t>Mandate / Pipeline Only</t>
        </is>
      </c>
    </row>
    <row r="13" ht="45" customHeight="1" s="26">
      <c r="A13" s="19" t="inlineStr">
        <is>
          <t>Motor Industry Retirement Fund (MIRF)</t>
        </is>
      </c>
      <c r="B13" s="19" t="inlineStr">
        <is>
          <t>South Africa</t>
        </is>
      </c>
      <c r="C13" s="19" t="inlineStr">
        <is>
          <t>Multi-employer PF (motor industry)</t>
        </is>
      </c>
      <c r="D13" s="19" t="inlineStr">
        <is>
          <t>Member-only mandate evidence</t>
        </is>
      </c>
      <c r="E13" s="19" t="inlineStr">
        <is>
          <t>AOFSA consortium</t>
        </is>
      </c>
      <c r="F13" s="19" t="inlineStr">
        <is>
          <t>SA infrastructure mandates via AOFSA</t>
        </is>
      </c>
      <c r="G13" s="19" t="inlineStr">
        <is>
          <t>Infrastructure</t>
        </is>
      </c>
      <c r="H13" s="19" t="inlineStr">
        <is>
          <t>South Africa</t>
        </is>
      </c>
      <c r="I13" s="19" t="inlineStr">
        <is>
          <t>ongoing</t>
        </is>
      </c>
      <c r="J13" s="19" t="inlineStr">
        <is>
          <t>Part of AOFSA aggregate commitments</t>
        </is>
      </c>
      <c r="K13" s="19" t="inlineStr">
        <is>
          <t>ZAR</t>
        </is>
      </c>
      <c r="L13" s="19" t="inlineStr">
        <is>
          <t>AOFSA launch coverage</t>
        </is>
      </c>
      <c r="M13" s="19" t="inlineStr">
        <is>
          <t>AOFSA member evidence</t>
        </is>
      </c>
      <c r="N13" s="19" t="inlineStr">
        <is>
          <t>H</t>
        </is>
      </c>
      <c r="O13" s="19" t="inlineStr">
        <is>
          <t>Named AOFSA member; public evidence supports aggregate AOFSA commitments but not a separate member-level commitment record.</t>
        </is>
      </c>
      <c r="P13" s="19" t="inlineStr">
        <is>
          <t>https://www.engineeringnews.co.za/article/aofsa-exceeds-infrastructure-investment-target-as-it-marks-first-anniversary-2022-11-21</t>
        </is>
      </c>
      <c r="Q13" t="inlineStr">
        <is>
          <t>Real Assets / Infrastructure Equity</t>
        </is>
      </c>
      <c r="R13" t="inlineStr">
        <is>
          <t>Infrastructure</t>
        </is>
      </c>
      <c r="S13" t="inlineStr">
        <is>
          <t>Mandate / Pipeline Only</t>
        </is>
      </c>
    </row>
    <row r="14">
      <c r="A14" t="inlineStr">
        <is>
          <t>KEPFIC (Kenya Pension Funds Investment Consortium)</t>
        </is>
      </c>
      <c r="B14" t="inlineStr">
        <is>
          <t>Kenya</t>
        </is>
      </c>
      <c r="C14" t="inlineStr">
        <is>
          <t>Pension consortium / pooled mandate</t>
        </is>
      </c>
      <c r="D14" t="inlineStr">
        <is>
          <t>Pooled mandate / aggregate evidence</t>
        </is>
      </c>
      <c r="E14" t="inlineStr">
        <is>
          <t>Various managers via KEPFIC consortium</t>
        </is>
      </c>
      <c r="F14" t="inlineStr">
        <is>
          <t>KEPFIC pooled mandates (Kenya)</t>
        </is>
      </c>
      <c r="G14" t="inlineStr">
        <is>
          <t>Infrastructure / Alts</t>
        </is>
      </c>
      <c r="H14" t="inlineStr">
        <is>
          <t>Kenya + regional</t>
        </is>
      </c>
      <c r="I14" t="inlineStr">
        <is>
          <t>2019-ongoing</t>
        </is>
      </c>
      <c r="J14" t="inlineStr">
        <is>
          <t>USD 113m mobilized into two housing projects; member AUM ~USD 5bn</t>
        </is>
      </c>
      <c r="K14" t="inlineStr">
        <is>
          <t>USD</t>
        </is>
      </c>
      <c r="L14" t="inlineStr">
        <is>
          <t>Aggregate consortium / pooled mandate</t>
        </is>
      </c>
      <c r="M14" t="inlineStr">
        <is>
          <t>IFC 2023; MiDA Advisors</t>
        </is>
      </c>
      <c r="N14" t="inlineStr">
        <is>
          <t>H</t>
        </is>
      </c>
      <c r="O14" t="inlineStr">
        <is>
          <t>Aggregate pooled mandate / consortium archetype, not a conventional fund vehicle LP row. Kept out of Fund Vehicles and Commitments Database to avoid treating a mandate platform as a fund commitment.</t>
        </is>
      </c>
      <c r="P14" t="inlineStr">
        <is>
          <t>https://www.ifc.org/en/stories/2023/pooling-pensions-in-kenya ; https://www.midaadvisors.com/advisory-firm-financing-the-development-of-critical-infrastructure-in-kenya-with-local-institutional-capital</t>
        </is>
      </c>
      <c r="Q14" t="inlineStr">
        <is>
          <t>Real Assets / Infrastructure Equity</t>
        </is>
      </c>
      <c r="R14" t="inlineStr">
        <is>
          <t>Infrastructure; Multi-Sector</t>
        </is>
      </c>
      <c r="S14" t="inlineStr">
        <is>
          <t>Mandate / Pipeline Only</t>
        </is>
      </c>
    </row>
    <row r="15">
      <c r="A15" t="inlineStr">
        <is>
          <t>Asset Owners Forum of South Africa (AOFSA)</t>
        </is>
      </c>
      <c r="B15" t="inlineStr">
        <is>
          <t>South Africa</t>
        </is>
      </c>
      <c r="C15" t="inlineStr">
        <is>
          <t>Pension consortium / pooled mandate</t>
        </is>
      </c>
      <c r="D15" t="inlineStr">
        <is>
          <t>Pooled mandate / aggregate evidence</t>
        </is>
      </c>
      <c r="E15" t="inlineStr">
        <is>
          <t>Various managers via AOFSA consortium</t>
        </is>
      </c>
      <c r="F15" t="inlineStr">
        <is>
          <t>AOFSA pooled infrastructure mandates (South Africa)</t>
        </is>
      </c>
      <c r="G15" t="inlineStr">
        <is>
          <t>Infrastructure / Alts</t>
        </is>
      </c>
      <c r="H15" t="inlineStr">
        <is>
          <t>South Africa</t>
        </is>
      </c>
      <c r="I15" t="inlineStr">
        <is>
          <t>2021-ongoing</t>
        </is>
      </c>
      <c r="J15" t="inlineStr">
        <is>
          <t>R5.7bn / USD 400m+ collectively committed to infrastructure and other alternatives</t>
        </is>
      </c>
      <c r="K15" t="inlineStr">
        <is>
          <t>ZAR / USD</t>
        </is>
      </c>
      <c r="L15" t="inlineStr">
        <is>
          <t>Aggregate consortium / pooled mandate</t>
        </is>
      </c>
      <c r="M15" t="inlineStr">
        <is>
          <t>Engineering News 2022; MiDA/USAID AOFSA case materials</t>
        </is>
      </c>
      <c r="N15" t="inlineStr">
        <is>
          <t>H</t>
        </is>
      </c>
      <c r="O15" t="inlineStr">
        <is>
          <t>Aggregate pooled mandate / consortium archetype, not a conventional fund vehicle LP row. Kept out of Fund Vehicles and Commitments Database to avoid treating a mandate platform as a fund commitment.</t>
        </is>
      </c>
      <c r="P15" t="inlineStr">
        <is>
          <t>https://www.engineeringnews.co.za/article/aofsa-exceeds-infrastructure-investment-target-as-it-marks-first-anniversary-2022-11-21 ; https://www.midaadvisors.com/advisory-firm-what-we-do/institutional-investors-capacity-development</t>
        </is>
      </c>
      <c r="Q15" t="inlineStr">
        <is>
          <t>Real Assets / Infrastructure Equity</t>
        </is>
      </c>
      <c r="R15" t="inlineStr">
        <is>
          <t>Infrastructure; Multi-Sector</t>
        </is>
      </c>
      <c r="S15" t="inlineStr">
        <is>
          <t>Mandate / Pipeline Only</t>
        </is>
      </c>
    </row>
    <row r="16">
      <c r="A16" t="inlineStr">
        <is>
          <t>Rwanda Social Security Board (RSSB)</t>
        </is>
      </c>
      <c r="B16" t="inlineStr">
        <is>
          <t>Rwanda</t>
        </is>
      </c>
      <c r="C16" t="inlineStr">
        <is>
          <t>Public PF (mandatory)</t>
        </is>
      </c>
      <c r="D16" t="inlineStr">
        <is>
          <t>Pipeline / proposed fund - monitor for close</t>
        </is>
      </c>
      <c r="E16" t="inlineStr">
        <is>
          <t>Admaius Capital Partners</t>
        </is>
      </c>
      <c r="F16" t="inlineStr">
        <is>
          <t>Virunga Africa Fund II</t>
        </is>
      </c>
      <c r="G16" t="inlineStr">
        <is>
          <t>Private equity / growth equity</t>
        </is>
      </c>
      <c r="H16" t="inlineStr">
        <is>
          <t>Pan-Africa (Egypt, Kenya, Morocco, Rwanda, South Africa primary)</t>
        </is>
      </c>
      <c r="I16" t="n">
        <v>2026</v>
      </c>
      <c r="J16" t="inlineStr">
        <is>
          <t>USD 500m target; IFC proposed USD 25m equity + USD 10m co-investment envelope</t>
        </is>
      </c>
      <c r="K16" t="inlineStr">
        <is>
          <t>USD</t>
        </is>
      </c>
      <c r="L16" t="inlineStr">
        <is>
          <t>IFC disclosure / trade press / local press</t>
        </is>
      </c>
      <c r="M16" t="inlineStr">
        <is>
          <t>IFC / The New Times / TechInAfrica - Virunga Africa Fund II proposed IFC investment (May-June 2026)</t>
        </is>
      </c>
      <c r="N16" t="inlineStr">
        <is>
          <t>M-H</t>
        </is>
      </c>
      <c r="O16" t="inlineStr">
        <is>
          <t>No public first close or RSSB commitment confirmation as of 5 June 2026; IFC board approval expected 10 June 2026. Keep as pipeline until an official close or named RSSB commitment is disclosed.</t>
        </is>
      </c>
      <c r="P16" t="inlineStr">
        <is>
          <t>https://www.newtimes.co.rw/article/36220/news/featured/world-banks-ifc-to-back-admaius-500-million-virunga-africa-fund-ii</t>
        </is>
      </c>
      <c r="Q16" t="inlineStr">
        <is>
          <t>Private Equity</t>
        </is>
      </c>
      <c r="R16" t="inlineStr">
        <is>
          <t>Healthcare; Education; Digital / Technology; Financial Inclusion / Financial Services; FMCG</t>
        </is>
      </c>
      <c r="S16" t="inlineStr">
        <is>
          <t>Fund LP (prospective)</t>
        </is>
      </c>
    </row>
  </sheetData>
  <autoFilter ref="A1:P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59"/>
  <sheetViews>
    <sheetView tabSelected="1" zoomScaleNormal="100" workbookViewId="0">
      <pane ySplit="3" topLeftCell="A25" activePane="bottomLeft" state="frozen"/>
      <selection pane="bottomLeft" activeCell="H42" sqref="H42"/>
    </sheetView>
  </sheetViews>
  <sheetFormatPr baseColWidth="8" defaultColWidth="8.7109375" defaultRowHeight="15"/>
  <cols>
    <col width="38" customWidth="1" style="26" min="1" max="1"/>
    <col width="28" customWidth="1" style="26" min="2" max="2"/>
    <col width="14" customWidth="1" style="26" min="3" max="3"/>
    <col width="16" customWidth="1" style="26" min="4" max="4"/>
    <col width="26" customWidth="1" style="26" min="5" max="5"/>
    <col width="28" customWidth="1" style="26" min="6" max="6"/>
    <col width="14" customWidth="1" style="26" min="7" max="7"/>
    <col width="60" customWidth="1" style="26" min="8" max="8"/>
    <col width="8" customWidth="1" style="26" min="9" max="9"/>
    <col width="50" customWidth="1" style="26" min="10" max="10"/>
    <col width="32" customWidth="1" style="26" min="11" max="11"/>
    <col width="50" customWidth="1" style="26" min="12" max="12"/>
  </cols>
  <sheetData>
    <row r="1" ht="27.75" customHeight="1" s="26">
      <c r="A1" s="25" t="inlineStr">
        <is>
          <t>Fund-level view: each row = one fund/vehicle with African pension/SWF involvement, all known LPs broken out.</t>
        </is>
      </c>
    </row>
    <row r="3" ht="45.75" customHeight="1" s="26">
      <c r="A3" s="1" t="inlineStr">
        <is>
          <t>Fund / Vehicle</t>
        </is>
      </c>
      <c r="B3" s="1" t="inlineStr">
        <is>
          <t>Manager / GP</t>
        </is>
      </c>
      <c r="C3" s="1" t="inlineStr">
        <is>
          <t>Vintage</t>
        </is>
      </c>
      <c r="D3" s="1" t="inlineStr">
        <is>
          <t>Fund size (USD m)</t>
        </is>
      </c>
      <c r="E3" s="1" t="inlineStr">
        <is>
          <t>Asset class</t>
        </is>
      </c>
      <c r="F3" s="1" t="inlineStr">
        <is>
          <t>Geographic focus</t>
        </is>
      </c>
      <c r="G3" s="1" t="inlineStr">
        <is>
          <t>African PF/SWF LPs (count)</t>
        </is>
      </c>
      <c r="H3" s="1" t="inlineStr">
        <is>
          <t>Named African PF/SWF LPs</t>
        </is>
      </c>
      <c r="I3" s="1" t="inlineStr">
        <is>
          <t>DFI LPs (count)</t>
        </is>
      </c>
      <c r="J3" s="1" t="inlineStr">
        <is>
          <t>Named DFI LPs</t>
        </is>
      </c>
      <c r="K3" s="1" t="inlineStr">
        <is>
          <t>Other named LPs</t>
        </is>
      </c>
      <c r="L3" s="1" t="inlineStr">
        <is>
          <t>Co-investor pattern note</t>
        </is>
      </c>
      <c r="M3" t="inlineStr">
        <is>
          <t>Asset class normalized</t>
        </is>
      </c>
      <c r="N3" t="inlineStr">
        <is>
          <t>Sector / thematic focus</t>
        </is>
      </c>
      <c r="O3" t="inlineStr">
        <is>
          <t>Investment approach</t>
        </is>
      </c>
    </row>
    <row r="4" ht="34.5" customHeight="1" s="26">
      <c r="A4" s="2" t="inlineStr">
        <is>
          <t>Growth Investment Partners (GIP) Ghana</t>
        </is>
      </c>
      <c r="B4" s="2" t="inlineStr">
        <is>
          <t>BII-established platform</t>
        </is>
      </c>
      <c r="C4" s="2" t="inlineStr">
        <is>
          <t>2023-launched, 2026 expansion</t>
        </is>
      </c>
      <c r="D4" s="2" t="inlineStr">
        <is>
          <t>~70 (incl. Axis + Norfund 2026 round)</t>
        </is>
      </c>
      <c r="E4" s="2" t="inlineStr">
        <is>
          <t>Private credit / SME debt (local currency)</t>
        </is>
      </c>
      <c r="F4" s="2" t="inlineStr">
        <is>
          <t>Ghana</t>
        </is>
      </c>
      <c r="G4" s="2" t="n">
        <v>1</v>
      </c>
      <c r="H4" s="2" t="inlineStr">
        <is>
          <t>Axis Pension Trust (USD 5m, 2026)</t>
        </is>
      </c>
      <c r="I4" s="2" t="n">
        <v>2</v>
      </c>
      <c r="J4" s="2" t="inlineStr">
        <is>
          <t>BII (anchor), Norfund (USD 15m, 2026)</t>
        </is>
      </c>
      <c r="K4" s="2" t="inlineStr">
        <is>
          <t>—</t>
        </is>
      </c>
      <c r="L4" s="2" t="inlineStr">
        <is>
          <t>BII-anchored DFI + 1 Ghanaian pension trustee. First Ghanaian PF commitment under 5% alts rule.</t>
        </is>
      </c>
      <c r="M4" t="inlineStr">
        <is>
          <t>Private Credit</t>
        </is>
      </c>
      <c r="N4" t="inlineStr">
        <is>
          <t>SME Finance</t>
        </is>
      </c>
      <c r="O4" t="inlineStr">
        <is>
          <t>Fund LP</t>
        </is>
      </c>
    </row>
    <row r="5" ht="23.25" customHeight="1" s="26">
      <c r="A5" s="2" t="inlineStr">
        <is>
          <t>Growth Investment Partners (GIP) Zambia</t>
        </is>
      </c>
      <c r="B5" s="2" t="inlineStr">
        <is>
          <t>BII-established platform</t>
        </is>
      </c>
      <c r="C5" s="2" t="inlineStr">
        <is>
          <t>2025</t>
        </is>
      </c>
      <c r="D5" s="2" t="n">
        <v>70</v>
      </c>
      <c r="E5" s="2" t="inlineStr">
        <is>
          <t>Private credit / SME debt (local currency)</t>
        </is>
      </c>
      <c r="F5" s="2" t="inlineStr">
        <is>
          <t>Zambia</t>
        </is>
      </c>
      <c r="G5" s="2" t="n">
        <v>1</v>
      </c>
      <c r="H5" s="2" t="inlineStr">
        <is>
          <t>NAPSA Zambia (USD 17.5m)</t>
        </is>
      </c>
      <c r="I5" s="2" t="n">
        <v>2</v>
      </c>
      <c r="J5" s="2" t="inlineStr">
        <is>
          <t>BII (USD 37.5m anchor), Swedfund (USD 15m)</t>
        </is>
      </c>
      <c r="K5" s="2" t="inlineStr">
        <is>
          <t>—</t>
        </is>
      </c>
      <c r="L5" s="2" t="inlineStr">
        <is>
          <t>Largest single disclosed Zambian-pension alts commitment. Trilateral DFI+pension anchor model.</t>
        </is>
      </c>
      <c r="M5" t="inlineStr">
        <is>
          <t>Private Credit</t>
        </is>
      </c>
      <c r="N5" t="inlineStr">
        <is>
          <t>SME Finance</t>
        </is>
      </c>
      <c r="O5" t="inlineStr">
        <is>
          <t>Fund LP</t>
        </is>
      </c>
    </row>
    <row r="6" ht="23.25" customHeight="1" s="26">
      <c r="A6" s="2" t="inlineStr">
        <is>
          <t>Ci-Gaba Fund of Funds</t>
        </is>
      </c>
      <c r="B6" s="2" t="inlineStr">
        <is>
          <t>Savannah Impact Advisory</t>
        </is>
      </c>
      <c r="C6" s="2" t="inlineStr">
        <is>
          <t>2026</t>
        </is>
      </c>
      <c r="D6" s="2" t="inlineStr">
        <is>
          <t>35 first close (target 91)</t>
        </is>
      </c>
      <c r="E6" s="2" t="inlineStr">
        <is>
          <t>Fund of Funds</t>
        </is>
      </c>
      <c r="F6" s="2" t="inlineStr">
        <is>
          <t>Ghana + Nigeria + Senegal + Côte d'Ivoire</t>
        </is>
      </c>
      <c r="G6" s="2" t="inlineStr">
        <is>
          <t>2 + ~3 intermediated</t>
        </is>
      </c>
      <c r="H6" s="2" t="inlineStr">
        <is>
          <t>Axis Pension Trust, Enterprise Trustees, plus Stanbic IMS Ghana &amp; CAL AM Ghana managing additional pension money</t>
        </is>
      </c>
      <c r="I6" s="2" t="n">
        <v>2</v>
      </c>
      <c r="J6" s="2" t="inlineStr">
        <is>
          <t>FSD Africa Investments (USD 7.5m), FMO</t>
        </is>
      </c>
      <c r="K6" s="2" t="inlineStr">
        <is>
          <t>Small Foundation</t>
        </is>
      </c>
      <c r="L6" s="2" t="inlineStr">
        <is>
          <t>West Africa's first domestically-domiciled private FoF. Ghanaian pensions &gt;2/3 of first close.</t>
        </is>
      </c>
      <c r="M6" t="inlineStr">
        <is>
          <t>Fund of Funds</t>
        </is>
      </c>
      <c r="N6" t="inlineStr">
        <is>
          <t>Generalist</t>
        </is>
      </c>
      <c r="O6" t="inlineStr">
        <is>
          <t>Fund of Funds LP</t>
        </is>
      </c>
    </row>
    <row r="7" ht="23.25" customHeight="1" s="26">
      <c r="A7" s="2" t="inlineStr">
        <is>
          <t>ARM-Harith Infrastructure Fund I</t>
        </is>
      </c>
      <c r="B7" s="2" t="inlineStr">
        <is>
          <t>ARM-Harith JV</t>
        </is>
      </c>
      <c r="C7" s="2" t="inlineStr">
        <is>
          <t>2015 close</t>
        </is>
      </c>
      <c r="D7" s="2" t="inlineStr">
        <is>
          <t>~30</t>
        </is>
      </c>
      <c r="E7" s="2" t="inlineStr">
        <is>
          <t>Infrastructure</t>
        </is>
      </c>
      <c r="F7" s="2" t="inlineStr">
        <is>
          <t>Nigeria</t>
        </is>
      </c>
      <c r="G7" s="2" t="inlineStr">
        <is>
          <t>multiple (Nigerian PFAs)</t>
        </is>
      </c>
      <c r="H7" s="2" t="inlineStr">
        <is>
          <t>Stanbic IBTC Pension Managers, ARM Pension, other PFAs (named in industry coverage)</t>
        </is>
      </c>
      <c r="I7" s="2" t="n">
        <v>0</v>
      </c>
      <c r="J7" s="2" t="inlineStr">
        <is>
          <t>—</t>
        </is>
      </c>
      <c r="K7" s="2" t="inlineStr">
        <is>
          <t>—</t>
        </is>
      </c>
      <c r="L7" s="2" t="inlineStr">
        <is>
          <t>Landmark first-Nigerian-pension-funded infra fund.</t>
        </is>
      </c>
      <c r="M7" t="inlineStr">
        <is>
          <t>Real Assets / Infrastructure Equity</t>
        </is>
      </c>
      <c r="N7" t="inlineStr">
        <is>
          <t>Infrastructure</t>
        </is>
      </c>
      <c r="O7" t="inlineStr">
        <is>
          <t>Fund LP</t>
        </is>
      </c>
    </row>
    <row r="8" ht="34.5" customHeight="1" s="26">
      <c r="A8" s="2" t="inlineStr">
        <is>
          <t>Oyass Capital (SME fund)</t>
        </is>
      </c>
      <c r="B8" s="2" t="inlineStr">
        <is>
          <t>SEAF / SEAF Senegal</t>
        </is>
      </c>
      <c r="C8" s="2" t="inlineStr">
        <is>
          <t>2024</t>
        </is>
      </c>
      <c r="D8" s="2" t="inlineStr">
        <is>
          <t>~79m target / EUR 54m mobilized</t>
        </is>
      </c>
      <c r="E8" s="2" t="inlineStr">
        <is>
          <t>PE / SME</t>
        </is>
      </c>
      <c r="F8" s="2" t="inlineStr">
        <is>
          <t>Senegal</t>
        </is>
      </c>
      <c r="G8" s="2" t="n">
        <v>1</v>
      </c>
      <c r="H8" s="2" t="inlineStr">
        <is>
          <t>FONSIS</t>
        </is>
      </c>
      <c r="I8" s="2" t="n">
        <v>1</v>
      </c>
      <c r="J8" s="2" t="inlineStr">
        <is>
          <t>KfW (German cooperation)</t>
        </is>
      </c>
      <c r="K8" s="2" t="inlineStr">
        <is>
          <t>—</t>
        </is>
      </c>
      <c r="L8" s="2" t="inlineStr">
        <is>
          <t>FONSIS source describes Oyass Capital as an SME-focused private-equity fund/financing vehicle set up with KfW/World Bank support; management mandate awarded to SEAF.</t>
        </is>
      </c>
      <c r="M8" t="inlineStr">
        <is>
          <t>Private Equity</t>
        </is>
      </c>
      <c r="N8" t="inlineStr">
        <is>
          <t>Infrastructure; SME Finance; Financial Inclusion / Financial Services</t>
        </is>
      </c>
      <c r="O8" t="inlineStr">
        <is>
          <t>Fund LP</t>
        </is>
      </c>
    </row>
    <row r="9" ht="23.25" customHeight="1" s="26">
      <c r="A9" s="2" t="inlineStr">
        <is>
          <t>Yield Uganda Investment Fund</t>
        </is>
      </c>
      <c r="B9" s="2" t="inlineStr">
        <is>
          <t>Pearl Capital Partners</t>
        </is>
      </c>
      <c r="C9" s="2" t="inlineStr">
        <is>
          <t>2017</t>
        </is>
      </c>
      <c r="D9" s="2" t="inlineStr">
        <is>
          <t>~22 (EUR 20m total commitments to date)</t>
        </is>
      </c>
      <c r="E9" s="2" t="inlineStr">
        <is>
          <t>PE / Agribusiness</t>
        </is>
      </c>
      <c r="F9" s="2" t="inlineStr">
        <is>
          <t>Uganda</t>
        </is>
      </c>
      <c r="G9" s="2" t="n">
        <v>1</v>
      </c>
      <c r="H9" s="2" t="inlineStr">
        <is>
          <t>NSSF Uganda (EUR 12m founding)</t>
        </is>
      </c>
      <c r="I9" s="2" t="n">
        <v>3</v>
      </c>
      <c r="J9" s="2" t="inlineStr">
        <is>
          <t>EU (via IFAD), Soros Economic Development Fund (OSF), FCA Investments</t>
        </is>
      </c>
      <c r="K9" s="2" t="inlineStr">
        <is>
          <t>—</t>
        </is>
      </c>
      <c r="L9" s="2" t="inlineStr">
        <is>
          <t>NSSF Uganda founding LP alongside EU + IFAD. [Phase 6 correction: NSSF Uganda's founding contribution was EUR 2m (not EUR 12m); EUR 12m was the TOTAL first close including EU/IFAD EUR 10m. Later EUR 8m added by Soros Economic Development Fund + FCA Investments brought total to EUR 20m.]</t>
        </is>
      </c>
      <c r="M9" t="inlineStr">
        <is>
          <t>Private Equity</t>
        </is>
      </c>
      <c r="N9" t="inlineStr">
        <is>
          <t>Agriculture / Food Security</t>
        </is>
      </c>
      <c r="O9" t="inlineStr">
        <is>
          <t>Fund LP</t>
        </is>
      </c>
    </row>
    <row r="10" ht="34.5" customHeight="1" s="26">
      <c r="A10" s="2" t="inlineStr">
        <is>
          <t>Ascent Rift Valley Fund I (ARVF I)</t>
        </is>
      </c>
      <c r="B10" s="2" t="inlineStr">
        <is>
          <t>Ascent Capital Africa</t>
        </is>
      </c>
      <c r="C10" s="2" t="inlineStr">
        <is>
          <t>2014–2015</t>
        </is>
      </c>
      <c r="D10" s="2" t="n">
        <v>50</v>
      </c>
      <c r="E10" s="2" t="inlineStr">
        <is>
          <t>PE / SME growth</t>
        </is>
      </c>
      <c r="F10" s="2" t="inlineStr">
        <is>
          <t>Kenya, Uganda, Ethiopia</t>
        </is>
      </c>
      <c r="G10" s="2" t="n">
        <v>2</v>
      </c>
      <c r="H10" s="2" t="inlineStr">
        <is>
          <t>Kenya Power &amp; Lighting Co. Pension Fund (KPLC PF) (USD 4m, 2014 — 'first East African pension LP in PE'), NMG Pension Fund (USD 1m, 2015 via STANLIB)</t>
        </is>
      </c>
      <c r="I10" s="2" t="n">
        <v>4</v>
      </c>
      <c r="J10" s="2" t="inlineStr">
        <is>
          <t>BII; FMO; Norfund; OeEB (Austria)</t>
        </is>
      </c>
      <c r="K10" s="2" t="inlineStr">
        <is>
          <t>Family offices, other institutional investors</t>
        </is>
      </c>
      <c r="L10" s="2" t="inlineStr">
        <is>
          <t>Historical pioneer fund for East African pension PE participation. DFI project-database cross-check adds BII and FMO to the existing Norfund/OeEB ARVF I record.</t>
        </is>
      </c>
      <c r="M10" t="inlineStr">
        <is>
          <t>Private Equity</t>
        </is>
      </c>
      <c r="N10" t="inlineStr">
        <is>
          <t>SME Finance</t>
        </is>
      </c>
      <c r="O10" t="inlineStr">
        <is>
          <t>Fund LP</t>
        </is>
      </c>
    </row>
    <row r="11" ht="23.25" customHeight="1" s="26">
      <c r="A11" s="2" t="inlineStr">
        <is>
          <t>Ascent Rift Valley Fund II (ARVF II)</t>
        </is>
      </c>
      <c r="B11" s="2" t="inlineStr">
        <is>
          <t>Ascent Capital Africa</t>
        </is>
      </c>
      <c r="C11" s="2" t="inlineStr">
        <is>
          <t>2018-2020</t>
        </is>
      </c>
      <c r="D11" s="2" t="inlineStr">
        <is>
          <t>~80-120</t>
        </is>
      </c>
      <c r="E11" s="2" t="inlineStr">
        <is>
          <t>PE / SME growth</t>
        </is>
      </c>
      <c r="F11" s="2" t="inlineStr">
        <is>
          <t>Kenya, Uganda, Ethiopia, Rwanda, Tanzania</t>
        </is>
      </c>
      <c r="G11" s="2" t="inlineStr">
        <is>
          <t>3 separate commitments</t>
        </is>
      </c>
      <c r="H11" s="2" t="inlineStr">
        <is>
          <t>Kenya Power &amp; Lighting Co. Pension Fund (KPLC PF) x2 (likely main + Staff RBS), NMG Pension Fund</t>
        </is>
      </c>
      <c r="I11" s="2" t="n">
        <v>6</v>
      </c>
      <c r="J11" s="2" t="inlineStr">
        <is>
          <t>BII, BIO, FMO, IFC, Norfund, Proparco</t>
        </is>
      </c>
      <c r="K11" s="2" t="inlineStr">
        <is>
          <t>SDG Frontier Fund; PTA Zep-Re</t>
        </is>
      </c>
      <c r="L11" s="2" t="inlineStr">
        <is>
          <t>Strong DFI cluster alongside re-up of East African pension LPs. Source narrative: ARVF was 'the only local PE fund continually unlocking local pension investment' as of 2015.</t>
        </is>
      </c>
      <c r="M11" t="inlineStr">
        <is>
          <t>Private Equity</t>
        </is>
      </c>
      <c r="N11" t="inlineStr">
        <is>
          <t>SME Finance</t>
        </is>
      </c>
      <c r="O11" t="inlineStr">
        <is>
          <t>Fund LP</t>
        </is>
      </c>
    </row>
    <row r="12" ht="34.5" customHeight="1" s="26">
      <c r="A12" s="2" t="inlineStr">
        <is>
          <t>Adenia Capital V</t>
        </is>
      </c>
      <c r="B12" s="2" t="inlineStr">
        <is>
          <t>Adenia Partners</t>
        </is>
      </c>
      <c r="C12" s="2" t="n">
        <v>2024</v>
      </c>
      <c r="D12" s="2" t="n">
        <v>470</v>
      </c>
      <c r="E12" s="2" t="inlineStr">
        <is>
          <t>PE</t>
        </is>
      </c>
      <c r="F12" s="2" t="inlineStr">
        <is>
          <t>Pan-Africa</t>
        </is>
      </c>
      <c r="G12" s="2" t="inlineStr">
        <is>
          <t>&gt;2 (named) + categorical</t>
        </is>
      </c>
      <c r="H12" s="2" t="inlineStr">
        <is>
          <t>PIC South Africa (named); Kenyan pension funds (cohort); Ghanaian pension funds (cohort)</t>
        </is>
      </c>
      <c r="I12" s="2" t="n">
        <v>10</v>
      </c>
      <c r="J12" s="2" t="inlineStr">
        <is>
          <t>FMO, Proparco, IFC, DEG, EIB, SIFEM, DFC, Norfund, FinDev Canada, Bpifrance (i.e., 10 DFIs per EIB disclosure)</t>
        </is>
      </c>
      <c r="K12" s="2" t="inlineStr">
        <is>
          <t>Blue Earth Capital, Casey Family Programs, South Suez Capital, European family offices</t>
        </is>
      </c>
      <c r="L12" s="2" t="inlineStr">
        <is>
          <t>~30 LPs total; &gt;60% historical DFI re-ups; categorical 'Kenyan + Ghanaian pension funds' mentioned in press release but not individually named. [Phase 6 update: comprehensive LP list confirmed via EIB disclosure. 10 DFIs + PIC SA + categorical Kenyan/Ghanaian PFs + family offices = ~30 LP entities total.]</t>
        </is>
      </c>
      <c r="M12" t="inlineStr">
        <is>
          <t>Private Equity</t>
        </is>
      </c>
      <c r="N12" t="inlineStr">
        <is>
          <t>Generalist</t>
        </is>
      </c>
      <c r="O12" t="inlineStr">
        <is>
          <t>Fund LP</t>
        </is>
      </c>
    </row>
    <row r="13" ht="34.5" customHeight="1" s="26">
      <c r="A13" s="2" t="inlineStr">
        <is>
          <t>Catalyst Fund II</t>
        </is>
      </c>
      <c r="B13" s="2" t="inlineStr">
        <is>
          <t>Catalyst Principal Partners</t>
        </is>
      </c>
      <c r="C13" s="2" t="n">
        <v>2017</v>
      </c>
      <c r="D13" s="2" t="n">
        <v>155</v>
      </c>
      <c r="E13" s="2" t="inlineStr">
        <is>
          <t>PE</t>
        </is>
      </c>
      <c r="F13" s="2" t="inlineStr">
        <is>
          <t>Kenya, Uganda, Tanzania, Ethiopia, Zambia, Rwanda, DRC</t>
        </is>
      </c>
      <c r="G13" s="2" t="inlineStr">
        <is>
          <t>1+ (cohort)</t>
        </is>
      </c>
      <c r="H13" s="2" t="inlineStr">
        <is>
          <t>'Local pension funds' (NSSF Uganda likely; others not named)</t>
        </is>
      </c>
      <c r="I13" s="2" t="n">
        <v>6</v>
      </c>
      <c r="J13" s="2" t="inlineStr">
        <is>
          <t>BII (USD 30m); EIB; IFC; Proparco; SIFEM; Swedfund</t>
        </is>
      </c>
      <c r="K13" s="2" t="inlineStr">
        <is>
          <t>Family offices, regional investors</t>
        </is>
      </c>
      <c r="L13" s="2" t="inlineStr">
        <is>
          <t>Single largest East African PE fund with disclosed local-pension cohort. DFI project-database cross-check adds SIFEM to the named Catalyst Fund II DFI LP set.</t>
        </is>
      </c>
      <c r="M13" t="inlineStr">
        <is>
          <t>Private Equity</t>
        </is>
      </c>
      <c r="N13" t="inlineStr">
        <is>
          <t>Generalist</t>
        </is>
      </c>
      <c r="O13" t="inlineStr">
        <is>
          <t>Fund LP</t>
        </is>
      </c>
    </row>
    <row r="14" ht="23.25" customHeight="1" s="26">
      <c r="A14" s="2" t="inlineStr">
        <is>
          <t>Vantage Mezzanine IV (Pan-African sub-fund)</t>
        </is>
      </c>
      <c r="B14" s="2" t="inlineStr">
        <is>
          <t>Vantage Capital</t>
        </is>
      </c>
      <c r="C14" s="2" t="n">
        <v>2021</v>
      </c>
      <c r="D14" s="2" t="inlineStr">
        <is>
          <t>~350 target</t>
        </is>
      </c>
      <c r="E14" s="2" t="inlineStr">
        <is>
          <t>Private credit / Mezzanine</t>
        </is>
      </c>
      <c r="F14" s="2" t="inlineStr">
        <is>
          <t>Pan-Africa + Southern Africa</t>
        </is>
      </c>
      <c r="G14" s="2" t="inlineStr">
        <is>
          <t>multiple (cohort)</t>
        </is>
      </c>
      <c r="H14" s="2" t="inlineStr">
        <is>
          <t>'A number of Southern African pension funds' (per Vantage disclosure; SA pension funds incl. BPOPF — see Phase 2 entry)</t>
        </is>
      </c>
      <c r="I14" s="2" t="n">
        <v>7</v>
      </c>
      <c r="J14" s="2" t="inlineStr">
        <is>
          <t>IFC; EIB; BII; Norfund; DEG; Finnfund; Swedfund</t>
        </is>
      </c>
      <c r="K14" s="2" t="inlineStr">
        <is>
          <t>European endowments, private-sector insurers</t>
        </is>
      </c>
      <c r="L14" s="2" t="inlineStr">
        <is>
          <t>Vantage's 'historical pattern' of substantial SA pension LP base; specific names not publicly itemised. DFI project-database cross-check adds Swedfund to the named Vantage Mezzanine IV DFI LP set.</t>
        </is>
      </c>
      <c r="M14" t="inlineStr">
        <is>
          <t>Private Credit</t>
        </is>
      </c>
      <c r="N14" t="inlineStr">
        <is>
          <t>Generalist</t>
        </is>
      </c>
      <c r="O14" t="inlineStr">
        <is>
          <t>Fund LP</t>
        </is>
      </c>
    </row>
    <row r="15" ht="23.25" customHeight="1" s="26">
      <c r="A15" s="2" t="inlineStr">
        <is>
          <t>Mediterrania Capital II / III / IV</t>
        </is>
      </c>
      <c r="B15" s="2" t="inlineStr">
        <is>
          <t>Mediterrania Capital Partners</t>
        </is>
      </c>
      <c r="C15" s="2" t="inlineStr">
        <is>
          <t>Various 2014-2024</t>
        </is>
      </c>
      <c r="D15" s="2" t="inlineStr">
        <is>
          <t>EUR multi-100m</t>
        </is>
      </c>
      <c r="E15" s="2" t="inlineStr">
        <is>
          <t>PE</t>
        </is>
      </c>
      <c r="F15" s="2" t="inlineStr">
        <is>
          <t>North Africa + Sub-Saharan</t>
        </is>
      </c>
      <c r="G15" s="2" t="n">
        <v>1</v>
      </c>
      <c r="H15" s="2" t="inlineStr">
        <is>
          <t>CDG Morocco (historical LP)</t>
        </is>
      </c>
      <c r="I15" s="2" t="inlineStr">
        <is>
          <t>multiple</t>
        </is>
      </c>
      <c r="J15" s="2" t="inlineStr">
        <is>
          <t>CDP Group (Italy), EIB, AfDB, others (varying by vintage)</t>
        </is>
      </c>
      <c r="K15" s="2" t="inlineStr">
        <is>
          <t>European family offices</t>
        </is>
      </c>
      <c r="L15" s="2" t="inlineStr">
        <is>
          <t>Maghreb-focused; CDG Morocco historical LP.</t>
        </is>
      </c>
      <c r="M15" t="inlineStr">
        <is>
          <t>Private Equity</t>
        </is>
      </c>
      <c r="N15" t="inlineStr">
        <is>
          <t>Generalist</t>
        </is>
      </c>
      <c r="O15" t="inlineStr">
        <is>
          <t>Fund LP</t>
        </is>
      </c>
    </row>
    <row r="16" ht="23.25" customHeight="1" s="26">
      <c r="A16" s="2" t="inlineStr">
        <is>
          <t>AfricInvest FIVE (Financial Inclusion Vehicle)</t>
        </is>
      </c>
      <c r="B16" s="2" t="inlineStr">
        <is>
          <t>AfricInvest</t>
        </is>
      </c>
      <c r="C16" s="2" t="inlineStr">
        <is>
          <t>Open-ended evergreen (started 2017)</t>
        </is>
      </c>
      <c r="D16" s="2" t="inlineStr">
        <is>
          <t>Multi-100m</t>
        </is>
      </c>
      <c r="E16" s="2" t="inlineStr">
        <is>
          <t>PE / Financial inclusion</t>
        </is>
      </c>
      <c r="F16" s="2" t="inlineStr">
        <is>
          <t>Africa</t>
        </is>
      </c>
      <c r="G16" s="2" t="n">
        <v>1</v>
      </c>
      <c r="H16" s="2" t="inlineStr">
        <is>
          <t>CBK Pension Fund (Kenya, Central Bank of Kenya)</t>
        </is>
      </c>
      <c r="I16" s="2" t="n">
        <v>4</v>
      </c>
      <c r="J16" s="2" t="inlineStr">
        <is>
          <t>Norfund, IFU, AfDB (later), KfW (later)</t>
        </is>
      </c>
      <c r="K16" s="2" t="inlineStr">
        <is>
          <t>—</t>
        </is>
      </c>
      <c r="L16" s="2" t="inlineStr">
        <is>
          <t>Evergreen platform; CBK Pension Fund Kenya was first African pension LP in 2018; multiple closes since. CBK Pension Fund LP since Oct 2018 second close.</t>
        </is>
      </c>
      <c r="M16" t="inlineStr">
        <is>
          <t>Platform / Holding Company</t>
        </is>
      </c>
      <c r="N16" t="inlineStr">
        <is>
          <t>Financial Inclusion / Financial Services; Multi-Sector</t>
        </is>
      </c>
      <c r="O16" t="inlineStr">
        <is>
          <t>Fund LP</t>
        </is>
      </c>
    </row>
    <row r="17" ht="34.5" customHeight="1" s="26">
      <c r="A17" s="2" t="inlineStr">
        <is>
          <t>Aleyo Capital Fund I</t>
        </is>
      </c>
      <c r="B17" s="2" t="inlineStr">
        <is>
          <t>Aleyo Capital</t>
        </is>
      </c>
      <c r="C17" s="2" t="n">
        <v>2017</v>
      </c>
      <c r="D17" s="2" t="inlineStr">
        <is>
          <t>~43</t>
        </is>
      </c>
      <c r="E17" s="2" t="inlineStr">
        <is>
          <t>PE / Domestic incubation</t>
        </is>
      </c>
      <c r="F17" s="2" t="inlineStr">
        <is>
          <t>Botswana + regional</t>
        </is>
      </c>
      <c r="G17" s="2" t="n">
        <v>1</v>
      </c>
      <c r="H17" s="2" t="inlineStr">
        <is>
          <t>BPOPF (anchor, BWP 500m / USD ~43m)</t>
        </is>
      </c>
      <c r="I17" s="2" t="n">
        <v>0</v>
      </c>
      <c r="J17" s="2" t="inlineStr">
        <is>
          <t>—</t>
        </is>
      </c>
      <c r="K17" s="2" t="inlineStr">
        <is>
          <t>—</t>
        </is>
      </c>
      <c r="L17" s="2" t="inlineStr">
        <is>
          <t>BPOPF domestic incubation programme — single-LP-anchor model.</t>
        </is>
      </c>
      <c r="M17" t="inlineStr">
        <is>
          <t>Private Equity</t>
        </is>
      </c>
      <c r="N17" t="inlineStr">
        <is>
          <t>Generalist</t>
        </is>
      </c>
      <c r="O17" t="inlineStr">
        <is>
          <t>Fund LP</t>
        </is>
      </c>
    </row>
    <row r="18" ht="15" customHeight="1" s="26">
      <c r="A18" s="2" t="inlineStr">
        <is>
          <t>Africa Lighthouse Capital Fund I</t>
        </is>
      </c>
      <c r="B18" s="2" t="inlineStr">
        <is>
          <t>Africa Lighthouse Capital</t>
        </is>
      </c>
      <c r="C18" s="2" t="n">
        <v>2017</v>
      </c>
      <c r="D18" s="2" t="inlineStr">
        <is>
          <t>~43</t>
        </is>
      </c>
      <c r="E18" s="2" t="inlineStr">
        <is>
          <t>PE / Domestic + regional</t>
        </is>
      </c>
      <c r="F18" s="2" t="inlineStr">
        <is>
          <t>Botswana + regional</t>
        </is>
      </c>
      <c r="G18" s="2" t="n">
        <v>1</v>
      </c>
      <c r="H18" s="2" t="inlineStr">
        <is>
          <t>BPOPF (anchor, BWP 500m / USD ~43m)</t>
        </is>
      </c>
      <c r="I18" s="2" t="n">
        <v>0</v>
      </c>
      <c r="J18" s="2" t="inlineStr">
        <is>
          <t>—</t>
        </is>
      </c>
      <c r="K18" s="2" t="inlineStr">
        <is>
          <t>—</t>
        </is>
      </c>
      <c r="L18" s="2" t="inlineStr">
        <is>
          <t>Sister vehicle to Aleyo; BPOPF anchor.</t>
        </is>
      </c>
      <c r="M18" t="inlineStr">
        <is>
          <t>Private Equity</t>
        </is>
      </c>
      <c r="N18" t="inlineStr">
        <is>
          <t>Generalist</t>
        </is>
      </c>
      <c r="O18" t="inlineStr">
        <is>
          <t>Fund LP</t>
        </is>
      </c>
    </row>
    <row r="19" ht="23.25" customHeight="1" s="26">
      <c r="A19" s="2" t="inlineStr">
        <is>
          <t>Africa50 (general)</t>
        </is>
      </c>
      <c r="B19" s="2" t="inlineStr">
        <is>
          <t>Africa50 (AfDB-affiliated)</t>
        </is>
      </c>
      <c r="C19" s="2" t="inlineStr">
        <is>
          <t>2014-launched, ongoing</t>
        </is>
      </c>
      <c r="D19" s="2" t="inlineStr">
        <is>
          <t>1,400+ AUM</t>
        </is>
      </c>
      <c r="E19" s="2" t="inlineStr">
        <is>
          <t>Infrastructure platform / direct co-invest</t>
        </is>
      </c>
      <c r="F19" s="2" t="inlineStr">
        <is>
          <t>Pan-Africa</t>
        </is>
      </c>
      <c r="G19" s="2" t="inlineStr">
        <is>
          <t>1 (shareholder; PIC SA)</t>
        </is>
      </c>
      <c r="H19" s="2" t="inlineStr">
        <is>
          <t>PIC SA (USD 40m equity, April 2025); 31+ African government shareholders</t>
        </is>
      </c>
      <c r="I19" s="2" t="n">
        <v>2</v>
      </c>
      <c r="J19" s="2" t="inlineStr">
        <is>
          <t>AfDB (anchor sponsor), Bank Al-Maghrib, BCEAO</t>
        </is>
      </c>
      <c r="K19" s="2" t="inlineStr">
        <is>
          <t>—</t>
        </is>
      </c>
      <c r="L19" s="2" t="inlineStr">
        <is>
          <t>Continental infrastructure platform. PIC's 2025 commitment is largest single PF equity shareholding.</t>
        </is>
      </c>
      <c r="M19" t="inlineStr">
        <is>
          <t>Direct Equity / Strategic Stake</t>
        </is>
      </c>
      <c r="N19" t="inlineStr">
        <is>
          <t>Infrastructure</t>
        </is>
      </c>
      <c r="O19" t="inlineStr">
        <is>
          <t>Fund LP</t>
        </is>
      </c>
    </row>
    <row r="20" ht="23.25" customHeight="1" s="26">
      <c r="A20" s="2" t="inlineStr">
        <is>
          <t>Africa50 Infrastructure Acceleration Fund (IAF)</t>
        </is>
      </c>
      <c r="B20" s="2" t="inlineStr">
        <is>
          <t>Africa50</t>
        </is>
      </c>
      <c r="C20" s="2" t="n">
        <v>2024</v>
      </c>
      <c r="D20" s="2" t="inlineStr">
        <is>
          <t>222.5 first close (&gt;275 mobilised; later commitments added in 2025)</t>
        </is>
      </c>
      <c r="E20" s="2" t="inlineStr">
        <is>
          <t>Infrastructure (PE-style)</t>
        </is>
      </c>
      <c r="F20" s="2" t="inlineStr">
        <is>
          <t>Pan-Africa</t>
        </is>
      </c>
      <c r="G20" s="2" t="inlineStr">
        <is>
          <t>7+ named</t>
        </is>
      </c>
      <c r="H20" s="2" t="inlineStr">
        <is>
          <t>NSIA Nigeria, CDC Senegal, CDC Benin, CNSS Togo, CDG Invest Morocco, Public Service Superannuation Scheme/Fund Kenya, CNPS Cameroon</t>
        </is>
      </c>
      <c r="I20" s="2" t="n">
        <v>3</v>
      </c>
      <c r="J20" s="2" t="inlineStr">
        <is>
          <t>AfDB, IFC, DBSA</t>
        </is>
      </c>
      <c r="K20" s="2" t="inlineStr">
        <is>
          <t>Attijariwafa Bank (Morocco), Arab Bank for Economic Development in Africa, West African Development Bank (BOAD), Axian Group</t>
        </is>
      </c>
      <c r="L20" s="2" t="inlineStr">
        <is>
          <t>First major pan-African infra fund majority-funded by African institutions. May 2025 Africa50 release adds Kenya PSSS/PSSF and CNPS Cameroon as recent African PF LPs.</t>
        </is>
      </c>
      <c r="M20" t="inlineStr">
        <is>
          <t>Real Assets / Infrastructure Equity</t>
        </is>
      </c>
      <c r="N20" t="inlineStr">
        <is>
          <t>Infrastructure</t>
        </is>
      </c>
      <c r="O20" t="inlineStr">
        <is>
          <t>Fund LP</t>
        </is>
      </c>
    </row>
    <row r="21" ht="23.25" customHeight="1" s="26">
      <c r="A21" s="2" t="inlineStr">
        <is>
          <t>Africa Finance Corporation (AFC) — equity shareholders</t>
        </is>
      </c>
      <c r="B21" s="2" t="inlineStr">
        <is>
          <t>AFC (multilateral)</t>
        </is>
      </c>
      <c r="C21" s="2" t="inlineStr">
        <is>
          <t>ongoing</t>
        </is>
      </c>
      <c r="D21" s="2" t="inlineStr">
        <is>
          <t>Multi-bn</t>
        </is>
      </c>
      <c r="E21" s="2" t="inlineStr">
        <is>
          <t>Infrastructure / institutional equity vehicle</t>
        </is>
      </c>
      <c r="F21" s="2" t="inlineStr">
        <is>
          <t>Pan-Africa</t>
        </is>
      </c>
      <c r="G21" s="2" t="inlineStr">
        <is>
          <t>10+ African PF/SWF/sovereign shareholders</t>
        </is>
      </c>
      <c r="H21" s="2" t="inlineStr">
        <is>
          <t>PIC SA (USD 100m, 2022), Seychelles Pension Fund, Mauritius NPF + NSF, GIIF Ghana, CNPS Cameroon, CDC Gabon, Côte d'Ivoire, Sierra Leone, Egypt (2024), Rawbank DRC</t>
        </is>
      </c>
      <c r="I21" s="2" t="inlineStr">
        <is>
          <t>0 (DFIs are not AFC shareholders; AFC IS itself a DFI)</t>
        </is>
      </c>
      <c r="J21" s="2" t="inlineStr">
        <is>
          <t>—</t>
        </is>
      </c>
      <c r="K21" s="2" t="inlineStr">
        <is>
          <t>Central Bank of Nigeria 38%; private investors 62%</t>
        </is>
      </c>
      <c r="L21" s="2" t="inlineStr">
        <is>
          <t>Continental institutional-equity vehicle. By count of institutions, AFC participation is the MOST COMMON form of cross-border African pension/SWF alts deployment.</t>
        </is>
      </c>
      <c r="M21" t="inlineStr">
        <is>
          <t>Direct Equity / Strategic Stake</t>
        </is>
      </c>
      <c r="N21" t="inlineStr">
        <is>
          <t>Infrastructure</t>
        </is>
      </c>
      <c r="O21" t="inlineStr">
        <is>
          <t>Fund LP</t>
        </is>
      </c>
    </row>
    <row r="22" ht="23.25" customHeight="1" s="26">
      <c r="A22" s="2" t="inlineStr">
        <is>
          <t>Pembani Remgro Infrastructure Fund</t>
        </is>
      </c>
      <c r="B22" s="2" t="inlineStr">
        <is>
          <t>Pembani Remgro Infrastructure Managers</t>
        </is>
      </c>
      <c r="C22" s="2" t="n">
        <v>2015</v>
      </c>
      <c r="D22" s="2" t="inlineStr">
        <is>
          <t>~625</t>
        </is>
      </c>
      <c r="E22" s="2" t="inlineStr">
        <is>
          <t>Infrastructure</t>
        </is>
      </c>
      <c r="F22" s="2" t="inlineStr">
        <is>
          <t>Pan-Africa</t>
        </is>
      </c>
      <c r="G22" s="2" t="n">
        <v>1</v>
      </c>
      <c r="H22" s="2" t="inlineStr">
        <is>
          <t>PIC South Africa (anchor, ~USD 250m)</t>
        </is>
      </c>
      <c r="I22" s="2" t="inlineStr">
        <is>
          <t>multiple</t>
        </is>
      </c>
      <c r="J22" s="2" t="inlineStr">
        <is>
          <t>Various DFIs and SA institutional investors</t>
        </is>
      </c>
      <c r="K22" s="2" t="inlineStr">
        <is>
          <t>—</t>
        </is>
      </c>
      <c r="L22" s="2" t="inlineStr">
        <is>
          <t>PIC anchor; significant African-LP-funded infra fund.</t>
        </is>
      </c>
      <c r="M22" t="inlineStr">
        <is>
          <t>Real Assets / Infrastructure Equity</t>
        </is>
      </c>
      <c r="N22" t="inlineStr">
        <is>
          <t>Infrastructure</t>
        </is>
      </c>
      <c r="O22" t="inlineStr">
        <is>
          <t>Fund LP</t>
        </is>
      </c>
    </row>
    <row r="23" ht="15" customHeight="1" s="26">
      <c r="A23" s="2" t="inlineStr">
        <is>
          <t>Convergence Partners Communications Infrastructure Fund</t>
        </is>
      </c>
      <c r="B23" s="2" t="inlineStr">
        <is>
          <t>Convergence Partners</t>
        </is>
      </c>
      <c r="C23" s="2" t="inlineStr">
        <is>
          <t>Multiple vintages</t>
        </is>
      </c>
      <c r="D23" s="2" t="inlineStr">
        <is>
          <t>Multi-100m cumulative</t>
        </is>
      </c>
      <c r="E23" s="2" t="inlineStr">
        <is>
          <t>Infrastructure (digital/telecoms)</t>
        </is>
      </c>
      <c r="F23" s="2" t="inlineStr">
        <is>
          <t>Pan-Africa</t>
        </is>
      </c>
      <c r="G23" s="2" t="n">
        <v>1</v>
      </c>
      <c r="H23" s="2" t="inlineStr">
        <is>
          <t>PIC South Africa (historical)</t>
        </is>
      </c>
      <c r="I23" s="2" t="n">
        <v>2</v>
      </c>
      <c r="J23" s="2" t="inlineStr">
        <is>
          <t>BII; IFC</t>
        </is>
      </c>
      <c r="K23" s="2" t="inlineStr">
        <is>
          <t>—</t>
        </is>
      </c>
      <c r="L23" s="2" t="inlineStr">
        <is>
          <t>Digital infrastructure; PIC participant. DFI project-database cross-check replaces generic DFI label with named BII and IFC commitments.</t>
        </is>
      </c>
      <c r="M23" t="inlineStr">
        <is>
          <t>Real Assets / Infrastructure Equity</t>
        </is>
      </c>
      <c r="N23" t="inlineStr">
        <is>
          <t>Infrastructure; Digital / Technology</t>
        </is>
      </c>
      <c r="O23" t="inlineStr">
        <is>
          <t>Fund LP</t>
        </is>
      </c>
    </row>
    <row r="24" ht="23.25" customHeight="1" s="26">
      <c r="A24" s="2" t="inlineStr">
        <is>
          <t>Wessal Capital (SWF joint investment vehicle)</t>
        </is>
      </c>
      <c r="B24" s="2" t="inlineStr">
        <is>
          <t>Wessal Capital joint venture</t>
        </is>
      </c>
      <c r="C24" s="2" t="inlineStr">
        <is>
          <t>active</t>
        </is>
      </c>
      <c r="D24" s="2" t="inlineStr">
        <is>
          <t>EUR 2.5bn equity commitment</t>
        </is>
      </c>
      <c r="E24" s="2" t="inlineStr">
        <is>
          <t>Direct / real estate / tourism infrastructure</t>
        </is>
      </c>
      <c r="F24" s="2" t="inlineStr">
        <is>
          <t>Morocco</t>
        </is>
      </c>
      <c r="G24" s="2" t="n">
        <v>1</v>
      </c>
      <c r="H24" s="2" t="inlineStr">
        <is>
          <t>Ithmar Capital (Morocco SWF)</t>
        </is>
      </c>
      <c r="I24" s="2" t="n">
        <v>0</v>
      </c>
      <c r="J24" s="2" t="inlineStr">
        <is>
          <t>—</t>
        </is>
      </c>
      <c r="K24" s="2" t="inlineStr">
        <is>
          <t>Al Ajial Investment Fund Holding; Mubadala; Public Investment Fund; Qatar Holding</t>
        </is>
      </c>
      <c r="L24" s="2" t="inlineStr">
        <is>
          <t>Ithmar describes Wessal as a joint investment vehicle, equally owned by five SWFs. Specific launched projects: Wessal Bouregreg and Wessal Casa-Port.</t>
        </is>
      </c>
      <c r="M24" t="inlineStr">
        <is>
          <t>Direct Equity / Strategic Stake</t>
        </is>
      </c>
      <c r="N24" t="inlineStr">
        <is>
          <t>Infrastructure; Real Estate / Housing</t>
        </is>
      </c>
      <c r="O24" t="inlineStr">
        <is>
          <t>Fund LP</t>
        </is>
      </c>
    </row>
    <row r="25" ht="34.5" customHeight="1" s="26">
      <c r="A25" s="2" t="inlineStr">
        <is>
          <t>Mohammed VI Fund for Investment</t>
        </is>
      </c>
      <c r="B25" s="2" t="inlineStr">
        <is>
          <t>Government of Morocco</t>
        </is>
      </c>
      <c r="C25" s="2" t="n">
        <v>2020</v>
      </c>
      <c r="D25" s="2" t="inlineStr">
        <is>
          <t>4,500 capitalisation (MAD 45bn)</t>
        </is>
      </c>
      <c r="E25" s="2" t="inlineStr">
        <is>
          <t>SWF anchor — sectoral funds</t>
        </is>
      </c>
      <c r="F25" s="2" t="inlineStr">
        <is>
          <t>Morocco</t>
        </is>
      </c>
      <c r="G25" s="2" t="n">
        <v>1</v>
      </c>
      <c r="H25" s="2" t="inlineStr">
        <is>
          <t>Mohammed VI Fund itself (the allocator)</t>
        </is>
      </c>
      <c r="I25" s="2" t="n">
        <v>0</v>
      </c>
      <c r="J25" s="2" t="inlineStr">
        <is>
          <t>—</t>
        </is>
      </c>
      <c r="K25" s="2" t="inlineStr">
        <is>
          <t>Anchors various Moroccan sectoral funds</t>
        </is>
      </c>
      <c r="L25" s="2" t="inlineStr">
        <is>
          <t>Capitalised Moroccan strategic SWF — anchor for sub-funds.</t>
        </is>
      </c>
      <c r="M25" t="inlineStr">
        <is>
          <t>Mixed / Multi-Asset</t>
        </is>
      </c>
      <c r="N25" t="inlineStr">
        <is>
          <t>Multi-Sector</t>
        </is>
      </c>
      <c r="O25" t="inlineStr">
        <is>
          <t>Fund LP</t>
        </is>
      </c>
    </row>
    <row r="26" ht="23.25" customHeight="1" s="26">
      <c r="A26" s="2" t="inlineStr">
        <is>
          <t>Nigeria Infrastructure Fund (NIF, NSIA sub-fund)</t>
        </is>
      </c>
      <c r="B26" s="2" t="inlineStr">
        <is>
          <t>NSIA Nigeria</t>
        </is>
      </c>
      <c r="C26" s="2" t="inlineStr">
        <is>
          <t>ongoing</t>
        </is>
      </c>
      <c r="D26" s="2" t="inlineStr">
        <is>
          <t>Multi-100m disclosed direct</t>
        </is>
      </c>
      <c r="E26" s="2" t="inlineStr">
        <is>
          <t>Direct / Infrastructure / Agribusiness / Healthcare</t>
        </is>
      </c>
      <c r="F26" s="2" t="inlineStr">
        <is>
          <t>Nigeria</t>
        </is>
      </c>
      <c r="G26" s="2" t="n">
        <v>1</v>
      </c>
      <c r="H26" s="2" t="inlineStr">
        <is>
          <t>NSIA (the SWF itself)</t>
        </is>
      </c>
      <c r="I26" s="2" t="inlineStr">
        <is>
          <t>multiple co-invest</t>
        </is>
      </c>
      <c r="J26" s="2" t="inlineStr">
        <is>
          <t>AfDB co-financing on selected deals; various</t>
        </is>
      </c>
      <c r="K26" s="2" t="inlineStr">
        <is>
          <t>—</t>
        </is>
      </c>
      <c r="L26" s="2" t="inlineStr">
        <is>
          <t>NIF is NSIA's direct-deal sub-fund; received USD 550m additional govt funding FY24.</t>
        </is>
      </c>
      <c r="M26" t="inlineStr">
        <is>
          <t>Direct Equity / Strategic Stake</t>
        </is>
      </c>
      <c r="N26" t="inlineStr">
        <is>
          <t>Infrastructure; Agriculture / Food Security; Healthcare</t>
        </is>
      </c>
      <c r="O26" t="inlineStr">
        <is>
          <t>Fund LP</t>
        </is>
      </c>
    </row>
    <row r="27" ht="15" customHeight="1" s="26">
      <c r="A27" s="2" t="inlineStr">
        <is>
          <t>TSFE-ADQ Egyptian Health Platform</t>
        </is>
      </c>
      <c r="B27" s="2" t="inlineStr">
        <is>
          <t>TSFE + ADQ</t>
        </is>
      </c>
      <c r="C27" s="2" t="inlineStr">
        <is>
          <t>active</t>
        </is>
      </c>
      <c r="D27" s="2" t="inlineStr">
        <is>
          <t>USD ~2bn platform</t>
        </is>
      </c>
      <c r="E27" s="2" t="inlineStr">
        <is>
          <t>Direct / Healthcare</t>
        </is>
      </c>
      <c r="F27" s="2" t="inlineStr">
        <is>
          <t>Egypt</t>
        </is>
      </c>
      <c r="G27" s="2" t="n">
        <v>1</v>
      </c>
      <c r="H27" s="2" t="inlineStr">
        <is>
          <t>TSFE (the SWF itself)</t>
        </is>
      </c>
      <c r="I27" s="2" t="n">
        <v>0</v>
      </c>
      <c r="J27" s="2" t="inlineStr">
        <is>
          <t>—</t>
        </is>
      </c>
      <c r="K27" s="2" t="inlineStr">
        <is>
          <t>ADQ (UAE SWF)</t>
        </is>
      </c>
      <c r="L27" s="2" t="inlineStr">
        <is>
          <t>Bilateral SWF healthcare platform.</t>
        </is>
      </c>
      <c r="M27" t="inlineStr">
        <is>
          <t>Direct Equity / Strategic Stake</t>
        </is>
      </c>
      <c r="N27" t="inlineStr">
        <is>
          <t>Healthcare</t>
        </is>
      </c>
      <c r="O27" t="inlineStr">
        <is>
          <t>Platform / Anchor Sponsor</t>
        </is>
      </c>
    </row>
    <row r="28" ht="23.25" customHeight="1" s="26">
      <c r="A28" s="2" t="inlineStr">
        <is>
          <t>Sahel Capital Fund for Agricultural Finance in Nigeria (FAFIN)</t>
        </is>
      </c>
      <c r="B28" s="2" t="inlineStr">
        <is>
          <t>Sahel Capital</t>
        </is>
      </c>
      <c r="C28" s="2" t="n">
        <v>2017</v>
      </c>
      <c r="D28" s="2" t="n">
        <v>65.90000000000001</v>
      </c>
      <c r="E28" s="2" t="inlineStr">
        <is>
          <t>PE / Agribusiness</t>
        </is>
      </c>
      <c r="F28" s="2" t="inlineStr">
        <is>
          <t>Nigeria</t>
        </is>
      </c>
      <c r="G28" s="2" t="n">
        <v>1</v>
      </c>
      <c r="H28" s="2" t="inlineStr">
        <is>
          <t>NSIA Nigeria</t>
        </is>
      </c>
      <c r="I28" s="2" t="n">
        <v>3</v>
      </c>
      <c r="J28" s="2" t="inlineStr">
        <is>
          <t>AfDB, BII, Dutch Good Growth Fund</t>
        </is>
      </c>
      <c r="K28" s="2" t="inlineStr">
        <is>
          <t>—</t>
        </is>
      </c>
      <c r="L28" s="2" t="inlineStr">
        <is>
          <t>NSIA's earliest disclosed PE fund LP position; alongside three DFIs.</t>
        </is>
      </c>
      <c r="M28" t="inlineStr">
        <is>
          <t>Private Equity</t>
        </is>
      </c>
      <c r="N28" t="inlineStr">
        <is>
          <t>Agriculture / Food Security</t>
        </is>
      </c>
      <c r="O28" t="inlineStr">
        <is>
          <t>Fund LP</t>
        </is>
      </c>
    </row>
    <row r="29" ht="45.75" customHeight="1" s="26">
      <c r="A29" s="2" t="inlineStr">
        <is>
          <t>Capital Alliance Private Equity III (CAPE III)</t>
        </is>
      </c>
      <c r="B29" s="2" t="inlineStr">
        <is>
          <t>African Capital Alliance (ACA)</t>
        </is>
      </c>
      <c r="C29" s="2" t="n">
        <v>2009</v>
      </c>
      <c r="D29" s="2" t="inlineStr">
        <is>
          <t>400</t>
        </is>
      </c>
      <c r="E29" s="2" t="inlineStr">
        <is>
          <t>PE</t>
        </is>
      </c>
      <c r="F29" s="2" t="inlineStr">
        <is>
          <t>Nigeria + West Africa</t>
        </is>
      </c>
      <c r="G29" s="2" t="inlineStr">
        <is>
          <t>aggregate local pension cohort</t>
        </is>
      </c>
      <c r="H29" s="2" t="inlineStr">
        <is>
          <t>Nigerian local pension funds (aggregate; individual PFAs not publicly named)</t>
        </is>
      </c>
      <c r="I29" s="2" t="inlineStr">
        <is>
          <t>multiple</t>
        </is>
      </c>
      <c r="J29" s="2" t="inlineStr">
        <is>
          <t>BII; EIB; IFC and other DFIs reported across CAPE funds</t>
        </is>
      </c>
      <c r="K29" s="2" t="inlineStr">
        <is>
          <t>Not publicly named</t>
        </is>
      </c>
      <c r="L29" s="2" t="inlineStr">
        <is>
          <t>ACA reported about USD 45m from local pension funds into CAPE III. Individual PFAs not publicly named.</t>
        </is>
      </c>
      <c r="M29" t="inlineStr">
        <is>
          <t>Private Equity</t>
        </is>
      </c>
      <c r="N29" t="inlineStr">
        <is>
          <t>Generalist</t>
        </is>
      </c>
      <c r="O29" t="inlineStr">
        <is>
          <t>Fund LP</t>
        </is>
      </c>
    </row>
    <row r="30" ht="90.75" customHeight="1" s="26">
      <c r="A30" s="2" t="inlineStr">
        <is>
          <t>Capital Alliance Private Equity IV (CAPE IV)</t>
        </is>
      </c>
      <c r="B30" s="2" t="inlineStr">
        <is>
          <t>African Capital Alliance (ACA)</t>
        </is>
      </c>
      <c r="C30" s="2" t="n">
        <v>2016</v>
      </c>
      <c r="D30" s="2" t="inlineStr">
        <is>
          <t>570</t>
        </is>
      </c>
      <c r="E30" s="2" t="inlineStr">
        <is>
          <t>PE</t>
        </is>
      </c>
      <c r="F30" s="2" t="inlineStr">
        <is>
          <t>Nigeria + West Africa</t>
        </is>
      </c>
      <c r="G30" s="2" t="inlineStr">
        <is>
          <t>aggregate Nigerian PFA/CPFA cohort</t>
        </is>
      </c>
      <c r="H30" s="2" t="inlineStr">
        <is>
          <t>Nigerian PFAs / CPFAs (aggregate; individual PFAs/CPFAs not publicly named)</t>
        </is>
      </c>
      <c r="I30" s="2" t="inlineStr">
        <is>
          <t>multiple</t>
        </is>
      </c>
      <c r="J30" s="2" t="inlineStr">
        <is>
          <t>BII; EIB; DFIs reported in final-close sources</t>
        </is>
      </c>
      <c r="K30" s="2" t="inlineStr">
        <is>
          <t>Public and private pension funds; sovereign wealth funds; funds of funds</t>
        </is>
      </c>
      <c r="L30" s="2" t="inlineStr">
        <is>
          <t>CAPE IV final close included public/private pension funds and SWFs; BII mobilisation study and PenCom reporting confirm Nigerian pension/CPFA participation via a local-currency-enabled vehicle/capital calls.</t>
        </is>
      </c>
      <c r="M30" t="inlineStr">
        <is>
          <t>Private Equity</t>
        </is>
      </c>
      <c r="N30" t="inlineStr">
        <is>
          <t>Generalist</t>
        </is>
      </c>
      <c r="O30" t="inlineStr">
        <is>
          <t>Fund LP</t>
        </is>
      </c>
    </row>
    <row r="31" ht="23.25" customHeight="1" s="26">
      <c r="A31" s="2" t="inlineStr">
        <is>
          <t>Rwanda SME Growth Fund</t>
        </is>
      </c>
      <c r="B31" s="2" t="inlineStr">
        <is>
          <t>Enko Capital (Rwanda subsidiary)</t>
        </is>
      </c>
      <c r="C31" s="2" t="n">
        <v>2026</v>
      </c>
      <c r="D31" s="2" t="inlineStr">
        <is>
          <t>30 first close (target 100)</t>
        </is>
      </c>
      <c r="E31" s="2" t="inlineStr">
        <is>
          <t>PE / SME growth (local-currency)</t>
        </is>
      </c>
      <c r="F31" s="2" t="inlineStr">
        <is>
          <t>Rwanda</t>
        </is>
      </c>
      <c r="G31" s="2" t="n">
        <v>1</v>
      </c>
      <c r="H31" s="2" t="inlineStr">
        <is>
          <t>RSSB (Rwanda Social Security Board) — USD 30m anchor + USD 3m TA seed</t>
        </is>
      </c>
      <c r="I31" s="2" t="n">
        <v>1</v>
      </c>
      <c r="J31" s="2" t="inlineStr">
        <is>
          <t>FSD Africa Investments (structuring + planned guarantee)</t>
        </is>
      </c>
      <c r="K31" s="2" t="inlineStr">
        <is>
          <t>—</t>
        </is>
      </c>
      <c r="L31" s="2" t="inlineStr">
        <is>
          <t>First permanent capital vehicle anchored by an African pension fund (per RSSB CEO). Three regional firsts: pension-fund-led SME-only mandate, anchor permanent-capital vehicle, pension-fund TA facility.</t>
        </is>
      </c>
      <c r="M31" t="inlineStr">
        <is>
          <t>Private Equity</t>
        </is>
      </c>
      <c r="N31" t="inlineStr">
        <is>
          <t>SME Finance</t>
        </is>
      </c>
      <c r="O31" t="inlineStr">
        <is>
          <t>Fund LP</t>
        </is>
      </c>
    </row>
    <row r="32" ht="23.25" customHeight="1" s="26">
      <c r="A32" s="2" t="inlineStr">
        <is>
          <t>Mirepa Capital SME Fund I</t>
        </is>
      </c>
      <c r="B32" s="2" t="inlineStr">
        <is>
          <t>Mirepa Investment Advisors</t>
        </is>
      </c>
      <c r="C32" s="2" t="n">
        <v>2023</v>
      </c>
      <c r="D32" s="2" t="inlineStr">
        <is>
          <t>~10-12 (GHS 120m initial close)</t>
        </is>
      </c>
      <c r="E32" s="2" t="inlineStr">
        <is>
          <t>PE / SME growth</t>
        </is>
      </c>
      <c r="F32" s="2" t="inlineStr">
        <is>
          <t>Ghana</t>
        </is>
      </c>
      <c r="G32" s="2" t="inlineStr">
        <is>
          <t>2 named pension trustees + categorical CAMCOL schemes</t>
        </is>
      </c>
      <c r="H32" s="2" t="inlineStr">
        <is>
          <t>Petra Trust; Axis Pensions; multiple schemes via CAL Asset Management Company (CAMCOL); Venture Capital Trust Fund (VCTF)</t>
        </is>
      </c>
      <c r="I32" s="2" t="n">
        <v>0</v>
      </c>
      <c r="J32" s="2" t="inlineStr">
        <is>
          <t>—</t>
        </is>
      </c>
      <c r="K32" s="2" t="inlineStr">
        <is>
          <t>-</t>
        </is>
      </c>
      <c r="L32" s="2" t="inlineStr">
        <is>
          <t>Second Ghana fund anchored solely by local investors (after Injaro IGVCF). 100% local-LP-funded. Confirms Ghana's emerging mandated-minimum-alts policy is producing real deal flow.</t>
        </is>
      </c>
      <c r="M32" t="inlineStr">
        <is>
          <t>Venture Capital</t>
        </is>
      </c>
      <c r="N32" t="inlineStr">
        <is>
          <t>SME Finance</t>
        </is>
      </c>
      <c r="O32" t="inlineStr">
        <is>
          <t>Fund LP</t>
        </is>
      </c>
    </row>
    <row r="33" ht="23.25" customHeight="1" s="26">
      <c r="A33" s="2" t="inlineStr">
        <is>
          <t>Injaro Ghana Venture Capital Fund (IGVCF)</t>
        </is>
      </c>
      <c r="B33" s="2" t="inlineStr">
        <is>
          <t>Injaro Investment Advisors</t>
        </is>
      </c>
      <c r="C33" s="2" t="n">
        <v>2023</v>
      </c>
      <c r="D33" s="2" t="inlineStr">
        <is>
          <t>~17.4 (GHS 216m final close Dec 2023)</t>
        </is>
      </c>
      <c r="E33" s="2" t="inlineStr">
        <is>
          <t>PE / SME / VC</t>
        </is>
      </c>
      <c r="F33" s="2" t="inlineStr">
        <is>
          <t>Ghana + Côte d'Ivoire</t>
        </is>
      </c>
      <c r="G33" s="2" t="inlineStr">
        <is>
          <t>multiple Ghanaian pension funds (anchor cohort)</t>
        </is>
      </c>
      <c r="H33" s="2" t="inlineStr">
        <is>
          <t>Specific names not individually disclosed</t>
        </is>
      </c>
      <c r="I33" s="2" t="n">
        <v>0</v>
      </c>
      <c r="J33" s="2" t="inlineStr">
        <is>
          <t>—</t>
        </is>
      </c>
      <c r="K33" s="2" t="inlineStr">
        <is>
          <t>-</t>
        </is>
      </c>
      <c r="L33" s="2" t="inlineStr">
        <is>
          <t>FIRST Ghana fund of its kind anchored by local pension funds. Historical precedent for Mirepa I, Ci-Gaba, GIP Ghana model. Ghana cedi-denominated.</t>
        </is>
      </c>
      <c r="M33" t="inlineStr">
        <is>
          <t>Venture Capital</t>
        </is>
      </c>
      <c r="N33" t="inlineStr">
        <is>
          <t>SME Finance</t>
        </is>
      </c>
      <c r="O33" t="inlineStr">
        <is>
          <t>Fund LP</t>
        </is>
      </c>
    </row>
    <row r="34" ht="23.25" customHeight="1" s="26">
      <c r="A34" t="inlineStr">
        <is>
          <t>Africa Food Security Fund (AFSF)</t>
        </is>
      </c>
      <c r="B34" t="inlineStr">
        <is>
          <t>Zebu Investment Partners</t>
        </is>
      </c>
      <c r="C34" t="n">
        <v>2019</v>
      </c>
      <c r="D34" t="n">
        <v>84</v>
      </c>
      <c r="E34" t="inlineStr">
        <is>
          <t>PE / agriculture / food security</t>
        </is>
      </c>
      <c r="F34" t="inlineStr">
        <is>
          <t>Sub-Saharan Africa</t>
        </is>
      </c>
      <c r="G34" t="n">
        <v>1</v>
      </c>
      <c r="H34" t="inlineStr">
        <is>
          <t>PIC on behalf of GEPF (South Africa)</t>
        </is>
      </c>
      <c r="I34" t="n">
        <v>5</v>
      </c>
      <c r="J34" t="inlineStr">
        <is>
          <t>AfDB; BII (CDC Group); Dutch Good Growth Fund (DGGF); IFU; EBID</t>
        </is>
      </c>
      <c r="K34" t="inlineStr">
        <is>
          <t>Kuramo Capital Management</t>
        </is>
      </c>
      <c r="L34" t="inlineStr">
        <is>
          <t>DGGF news release names PIC/GEPF in first-round investor group alongside DFIs and DGGF; Kuramo subsequently joined to bring commitments to USD 84m.</t>
        </is>
      </c>
      <c r="M34" t="inlineStr">
        <is>
          <t>Private Equity</t>
        </is>
      </c>
      <c r="N34" t="inlineStr">
        <is>
          <t>Agriculture / Food Security</t>
        </is>
      </c>
      <c r="O34" t="inlineStr">
        <is>
          <t>Fund LP</t>
        </is>
      </c>
    </row>
    <row r="35" ht="23.25" customHeight="1" s="26">
      <c r="A35" t="inlineStr">
        <is>
          <t>Alitheia IDF Fund</t>
        </is>
      </c>
      <c r="B35" t="inlineStr">
        <is>
          <t>Alitheia Capital / IDF Capital</t>
        </is>
      </c>
      <c r="C35" t="inlineStr">
        <is>
          <t>2021 or earlier</t>
        </is>
      </c>
      <c r="D35" t="inlineStr">
        <is>
          <t>100</t>
        </is>
      </c>
      <c r="E35" t="inlineStr">
        <is>
          <t>PE / gender-lens</t>
        </is>
      </c>
      <c r="F35" t="inlineStr">
        <is>
          <t>Sub-Saharan Africa</t>
        </is>
      </c>
      <c r="G35" t="n">
        <v>1</v>
      </c>
      <c r="H35" t="inlineStr">
        <is>
          <t>NSIA Nigeria</t>
        </is>
      </c>
      <c r="I35" t="n">
        <v>0</v>
      </c>
      <c r="K35" t="inlineStr">
        <is>
          <t>Soros Economic Development Fund</t>
        </is>
      </c>
      <c r="L35" t="inlineStr">
        <is>
          <t>NSIA names Alitheia IDF as an investment; SEDF describes Alitheia IDF as a USD 100m gender-lens fund. NSIA ticket size not disclosed.</t>
        </is>
      </c>
      <c r="M35" t="inlineStr">
        <is>
          <t>Private Equity</t>
        </is>
      </c>
      <c r="N35" t="inlineStr">
        <is>
          <t>Gender Lens</t>
        </is>
      </c>
      <c r="O35" t="inlineStr">
        <is>
          <t>Fund LP</t>
        </is>
      </c>
    </row>
    <row r="36" ht="15" customHeight="1" s="26">
      <c r="A36" t="inlineStr">
        <is>
          <t>Ingressive Capital Fund / funds</t>
        </is>
      </c>
      <c r="B36" t="inlineStr">
        <is>
          <t>Ingressive Capital</t>
        </is>
      </c>
      <c r="C36" t="inlineStr">
        <is>
          <t>2023 or earlier</t>
        </is>
      </c>
      <c r="D36" t="inlineStr">
        <is>
          <t>Not disclosed</t>
        </is>
      </c>
      <c r="E36" t="inlineStr">
        <is>
          <t>VC / technology-enabled SMEs</t>
        </is>
      </c>
      <c r="F36" t="inlineStr">
        <is>
          <t>Africa / Nigeria-led</t>
        </is>
      </c>
      <c r="G36" t="n">
        <v>1</v>
      </c>
      <c r="H36" t="inlineStr">
        <is>
          <t>NSIA Nigeria</t>
        </is>
      </c>
      <c r="I36" t="n">
        <v>0</v>
      </c>
      <c r="L36" t="inlineStr">
        <is>
          <t>NSIA names Ingressive Capital as an investment; specific NSIA vehicle/vintage and ticket size not publicly disclosed.</t>
        </is>
      </c>
      <c r="M36" t="inlineStr">
        <is>
          <t>Venture Capital</t>
        </is>
      </c>
      <c r="N36" t="inlineStr">
        <is>
          <t>SME Finance; Digital / Technology</t>
        </is>
      </c>
      <c r="O36" t="inlineStr">
        <is>
          <t>Fund LP</t>
        </is>
      </c>
    </row>
    <row r="37" ht="34.5" customHeight="1" s="26">
      <c r="A37" t="inlineStr">
        <is>
          <t>Verod Growth Fund II</t>
        </is>
      </c>
      <c r="B37" t="inlineStr">
        <is>
          <t>Verod Capital Management</t>
        </is>
      </c>
      <c r="C37" t="n">
        <v>2017</v>
      </c>
      <c r="D37" t="inlineStr">
        <is>
          <t>Not disclosed</t>
        </is>
      </c>
      <c r="E37" t="inlineStr">
        <is>
          <t>PE / growth equity</t>
        </is>
      </c>
      <c r="F37" t="inlineStr">
        <is>
          <t>West Africa / Nigeria</t>
        </is>
      </c>
      <c r="G37" t="n">
        <v>1</v>
      </c>
      <c r="H37" t="inlineStr">
        <is>
          <t>NSIA Nigeria (USD 5m)</t>
        </is>
      </c>
      <c r="I37" t="n">
        <v>1</v>
      </c>
      <c r="J37" t="inlineStr">
        <is>
          <t>FMO</t>
        </is>
      </c>
      <c r="L37" t="inlineStr">
        <is>
          <t>NSIA impact report identifies a USD 5m FGF commitment to Verod Growth Fund II. DFI project-database cross-check identifies FMO as a Verod Capital Growth II investor.</t>
        </is>
      </c>
      <c r="M37" t="inlineStr">
        <is>
          <t>Private Equity</t>
        </is>
      </c>
      <c r="N37" t="inlineStr">
        <is>
          <t>Infrastructure</t>
        </is>
      </c>
      <c r="O37" t="inlineStr">
        <is>
          <t>Fund LP</t>
        </is>
      </c>
    </row>
    <row r="38" ht="23.25" customHeight="1" s="26">
      <c r="A38" t="inlineStr">
        <is>
          <t>Verod Growth Fund III</t>
        </is>
      </c>
      <c r="B38" t="inlineStr">
        <is>
          <t>Verod Capital Management</t>
        </is>
      </c>
      <c r="C38" t="inlineStr">
        <is>
          <t>2021 or earlier</t>
        </is>
      </c>
      <c r="D38" t="inlineStr">
        <is>
          <t>Not disclosed</t>
        </is>
      </c>
      <c r="E38" t="inlineStr">
        <is>
          <t>PE / growth equity</t>
        </is>
      </c>
      <c r="F38" t="inlineStr">
        <is>
          <t>West Africa / Nigeria</t>
        </is>
      </c>
      <c r="G38" t="n">
        <v>1</v>
      </c>
      <c r="H38" t="inlineStr">
        <is>
          <t>NSIA Nigeria (USD 7.5m commitment)</t>
        </is>
      </c>
      <c r="I38" t="n">
        <v>6</v>
      </c>
      <c r="J38" t="inlineStr">
        <is>
          <t>BII; BIO; FMO; IFC; Norfund; Proparco/FISEA</t>
        </is>
      </c>
      <c r="L38" t="inlineStr">
        <is>
          <t>NSIA impact report identifies a USD 7.5m FGF commitment to Verod Growth Fund III. DFI project-database cross-check identifies BII, BIO, FMO, IFC, Norfund and Proparco/FISEA as Verod Growth Fund III investors.</t>
        </is>
      </c>
      <c r="M38" t="inlineStr">
        <is>
          <t>Private Equity</t>
        </is>
      </c>
      <c r="N38" t="inlineStr">
        <is>
          <t>Infrastructure</t>
        </is>
      </c>
      <c r="O38" t="inlineStr">
        <is>
          <t>Fund LP</t>
        </is>
      </c>
    </row>
    <row r="39" ht="34.5" customHeight="1" s="26">
      <c r="A39" t="inlineStr">
        <is>
          <t>MedServe oncology and diagnostics expansion</t>
        </is>
      </c>
      <c r="B39" t="inlineStr">
        <is>
          <t>NSIA Advanced Medical Services Limited (MedServe)</t>
        </is>
      </c>
      <c r="C39" t="n">
        <v>2026</v>
      </c>
      <c r="D39" t="inlineStr">
        <is>
          <t>154.1 project size</t>
        </is>
      </c>
      <c r="E39" t="inlineStr">
        <is>
          <t>Direct / Healthcare</t>
        </is>
      </c>
      <c r="F39" t="inlineStr">
        <is>
          <t>Nigeria</t>
        </is>
      </c>
      <c r="G39" t="n">
        <v>1</v>
      </c>
      <c r="H39" t="inlineStr">
        <is>
          <t>NSIA Nigeria</t>
        </is>
      </c>
      <c r="I39" t="n">
        <v>1</v>
      </c>
      <c r="J39" t="inlineStr">
        <is>
          <t>IFC</t>
        </is>
      </c>
      <c r="K39" t="inlineStr">
        <is>
          <t>International Development Association Private Sector Window Local Currency Facility</t>
        </is>
      </c>
      <c r="L39" t="inlineStr">
        <is>
          <t>IFC provided roughly NGN 14.2bn / USD 24.5m local-currency financing for NSIA's wholly owned MedServe expansion program.</t>
        </is>
      </c>
      <c r="M39" t="inlineStr">
        <is>
          <t>Direct Equity / Strategic Stake</t>
        </is>
      </c>
      <c r="N39" t="inlineStr">
        <is>
          <t>Healthcare</t>
        </is>
      </c>
      <c r="O39" t="inlineStr">
        <is>
          <t>Fund LP</t>
        </is>
      </c>
    </row>
    <row r="40" ht="34.5" customHeight="1" s="26">
      <c r="A40" t="inlineStr">
        <is>
          <t>InfraCredit</t>
        </is>
      </c>
      <c r="B40" t="inlineStr">
        <is>
          <t>Infrastructure Credit Guarantee Company PLC</t>
        </is>
      </c>
      <c r="C40" t="inlineStr">
        <is>
          <t>2016/2017</t>
        </is>
      </c>
      <c r="D40" t="inlineStr">
        <is>
          <t>USD 237m+ capitalization reported in 2023</t>
        </is>
      </c>
      <c r="E40" t="inlineStr">
        <is>
          <t>Infrastructure credit enhancement / guarantees</t>
        </is>
      </c>
      <c r="F40" t="inlineStr">
        <is>
          <t>Nigeria</t>
        </is>
      </c>
      <c r="G40" t="n">
        <v>3</v>
      </c>
      <c r="H40" t="inlineStr">
        <is>
          <t>NSIA Nigeria; Access ARM Pensions; CardinalStone Pensions</t>
        </is>
      </c>
      <c r="I40" t="n">
        <v>4</v>
      </c>
      <c r="J40" t="inlineStr">
        <is>
          <t>GuarantCo / PIDG; KfW; AfDB; InfraCo Africa</t>
        </is>
      </c>
      <c r="K40" t="inlineStr">
        <is>
          <t>Africa Finance Corporation; Leadway Assurance; AIICO Insurance; FCDO / Mobilist</t>
        </is>
      </c>
      <c r="L40" t="inlineStr">
        <is>
          <t>NSIA established InfraCredit with GuarantCo/PIDG. Later shareholders/backers include KfW, AfDB, InfraCo Africa, AFC, insurers, and Nigerian pension shareholders.</t>
        </is>
      </c>
      <c r="M40" t="inlineStr">
        <is>
          <t>Guarantee / Credit Enhancement</t>
        </is>
      </c>
      <c r="N40" t="inlineStr">
        <is>
          <t>Infrastructure</t>
        </is>
      </c>
      <c r="O40" t="inlineStr">
        <is>
          <t>Guarantee-backed Instrument</t>
        </is>
      </c>
    </row>
    <row r="41" ht="15" customHeight="1" s="26">
      <c r="A41" t="inlineStr">
        <is>
          <t>Construction Finance Warehouse Facility (CFWF)</t>
        </is>
      </c>
      <c r="B41" t="inlineStr">
        <is>
          <t>InfraCredit / NSIA</t>
        </is>
      </c>
      <c r="C41" t="n">
        <v>2023</v>
      </c>
      <c r="D41" t="inlineStr">
        <is>
          <t>NGN 10bn anchor; NGN 100bn target capacity</t>
        </is>
      </c>
      <c r="E41" t="inlineStr">
        <is>
          <t>Infrastructure construction finance / credit enhancement</t>
        </is>
      </c>
      <c r="F41" t="inlineStr">
        <is>
          <t>Nigeria</t>
        </is>
      </c>
      <c r="G41" t="n">
        <v>1</v>
      </c>
      <c r="H41" t="inlineStr">
        <is>
          <t>NSIA Nigeria</t>
        </is>
      </c>
      <c r="I41" t="n">
        <v>0</v>
      </c>
      <c r="L41" t="inlineStr">
        <is>
          <t>NSIA provided NGN 10bn anchor funding; FSD Africa supported facility set-up costs through technical assistance rather than a disclosed LP/co-investment commitment.</t>
        </is>
      </c>
      <c r="M41" t="inlineStr">
        <is>
          <t>Guarantee / Credit Enhancement</t>
        </is>
      </c>
      <c r="N41" t="inlineStr">
        <is>
          <t>Infrastructure; Digital / Technology</t>
        </is>
      </c>
      <c r="O41" t="inlineStr">
        <is>
          <t>Guarantee-backed Instrument</t>
        </is>
      </c>
    </row>
    <row r="42" ht="45.75" customHeight="1" s="26">
      <c r="A42" t="inlineStr">
        <is>
          <t>Oasis Africa VC Fund (OAF)</t>
        </is>
      </c>
      <c r="B42" t="inlineStr">
        <is>
          <t>Oasis Capital Ghana</t>
        </is>
      </c>
      <c r="C42" t="inlineStr">
        <is>
          <t>2015/2016</t>
        </is>
      </c>
      <c r="D42" t="inlineStr">
        <is>
          <t>50.5</t>
        </is>
      </c>
      <c r="E42" t="inlineStr">
        <is>
          <t>PE / SME / VC</t>
        </is>
      </c>
      <c r="F42" t="inlineStr">
        <is>
          <t>Ghana + Cote d'Ivoire</t>
        </is>
      </c>
      <c r="G42" t="n">
        <v>1</v>
      </c>
      <c r="H42" t="inlineStr">
        <is>
          <t>Venture Capital Trust Fund (VCTF)</t>
        </is>
      </c>
      <c r="I42" t="n">
        <v>5</v>
      </c>
      <c r="J42" t="inlineStr">
        <is>
          <t>Dutch Good Growth Fund (DGGF); IFC; EIB; Norfund; Proparco/FISEA</t>
        </is>
      </c>
      <c r="K42" t="inlineStr">
        <is>
          <t>Local investor base of five institutions and individuals at first close</t>
        </is>
      </c>
      <c r="L42" t="inlineStr">
        <is>
          <t>VCTF government co-investment helped Oasis domicile the fund locally in Ghana. DGGF TA/legal work helped make the Ghana structure bankable for international DFIs; first close included DGGF, IFC and local investors, with EIB later disclosing an USD 8m commitment. DFI project-database cross-check adds Norfund and Proparco/FISEA as Oasis Africa Fund LPs.</t>
        </is>
      </c>
      <c r="M42" t="inlineStr">
        <is>
          <t>Venture Capital</t>
        </is>
      </c>
      <c r="N42" t="inlineStr">
        <is>
          <t>SME Finance; Financial Inclusion / Financial Services</t>
        </is>
      </c>
      <c r="O42" t="inlineStr">
        <is>
          <t>Fund LP</t>
        </is>
      </c>
    </row>
    <row r="43" ht="45.75" customHeight="1" s="26">
      <c r="A43" t="inlineStr">
        <is>
          <t>Virunga Africa Fund I</t>
        </is>
      </c>
      <c r="B43" t="inlineStr">
        <is>
          <t>Admaius Capital Partners</t>
        </is>
      </c>
      <c r="C43" t="n">
        <v>2021</v>
      </c>
      <c r="D43" t="n">
        <v>250</v>
      </c>
      <c r="E43" t="inlineStr">
        <is>
          <t>Private equity / growth / multi-sector</t>
        </is>
      </c>
      <c r="F43" t="inlineStr">
        <is>
          <t>Pan-Africa</t>
        </is>
      </c>
      <c r="G43" t="n">
        <v>1</v>
      </c>
      <c r="H43" t="inlineStr">
        <is>
          <t>RSSB (Rwanda Social Security Board) - anchor investor (commitment amount not separately disclosed)</t>
        </is>
      </c>
      <c r="I43" t="n">
        <v>1</v>
      </c>
      <c r="J43" t="inlineStr">
        <is>
          <t>Qatar Investment Authority (QIA)</t>
        </is>
      </c>
      <c r="K43" t="inlineStr">
        <is>
          <t>Not disclosed</t>
        </is>
      </c>
      <c r="L43" t="inlineStr">
        <is>
          <t>KIFC/RSSB launch announcement names QIA and RSSB as the two anchor/cornerstone investors in the USD 250m pan-African fund. Managed by Admaius and domiciled in KIFC.</t>
        </is>
      </c>
      <c r="M43" t="inlineStr">
        <is>
          <t>Private Equity</t>
        </is>
      </c>
      <c r="N43" t="inlineStr">
        <is>
          <t>Healthcare; Education; Digital / Technology; Financial Inclusion / Financial Services; Multi-Sector</t>
        </is>
      </c>
      <c r="O43" t="inlineStr">
        <is>
          <t>Fund LP</t>
        </is>
      </c>
    </row>
    <row r="44" ht="57" customHeight="1" s="26">
      <c r="A44" t="inlineStr">
        <is>
          <t>South Suez Africa Fund (I, II + Managed Accounts)</t>
        </is>
      </c>
      <c r="B44" t="inlineStr">
        <is>
          <t>South Suez Capital (Pty) Ltd</t>
        </is>
      </c>
      <c r="C44" t="inlineStr">
        <is>
          <t>Multiple vintages (2006–2015 est.)</t>
        </is>
      </c>
      <c r="E44" t="inlineStr">
        <is>
          <t>PE Fund of Funds</t>
        </is>
      </c>
      <c r="F44" t="inlineStr">
        <is>
          <t>Sub-Saharan Africa</t>
        </is>
      </c>
      <c r="G44" t="n">
        <v>1</v>
      </c>
      <c r="H44" t="inlineStr">
        <is>
          <t>Government Institutions Pension Fund (GIPF)</t>
        </is>
      </c>
      <c r="I44" t="n">
        <v>0</v>
      </c>
      <c r="J44" t="inlineStr">
        <is>
          <t>—</t>
        </is>
      </c>
      <c r="K44" t="inlineStr">
        <is>
          <t>—</t>
        </is>
      </c>
      <c r="L44" t="inlineStr">
        <is>
          <t>GIPF is the only named African PF/SWF LP disclosed. Pan-African PE FoF investing in primaries, secondaries, and co-investments. GIPF FY2023 market value N$2.75bn (~USD 151m). Source: GIPF 2023 Annual Report p.84.</t>
        </is>
      </c>
      <c r="M44" t="inlineStr">
        <is>
          <t>Private Equity</t>
        </is>
      </c>
      <c r="N44" t="inlineStr">
        <is>
          <t>Multi-Sector (Pan-African PE)</t>
        </is>
      </c>
      <c r="O44" t="inlineStr">
        <is>
          <t>Fund LP (Fund of Funds)</t>
        </is>
      </c>
    </row>
    <row r="45" ht="45.75" customHeight="1" s="26">
      <c r="A45" t="inlineStr">
        <is>
          <t>Investec Africa Private Equity Fund 2 L.P.</t>
        </is>
      </c>
      <c r="B45" t="inlineStr">
        <is>
          <t>Investec Asset Management (now Ninety-One)</t>
        </is>
      </c>
      <c r="C45" t="inlineStr">
        <is>
          <t>c.2013 (est.)</t>
        </is>
      </c>
      <c r="E45" t="inlineStr">
        <is>
          <t>Private Equity</t>
        </is>
      </c>
      <c r="F45" t="inlineStr">
        <is>
          <t>Pan-African (AU member states + Morocco)</t>
        </is>
      </c>
      <c r="G45" t="n">
        <v>1</v>
      </c>
      <c r="H45" t="inlineStr">
        <is>
          <t>Government Institutions Pension Fund (GIPF)</t>
        </is>
      </c>
      <c r="I45" t="n">
        <v>0</v>
      </c>
      <c r="J45" t="inlineStr">
        <is>
          <t>—</t>
        </is>
      </c>
      <c r="K45" t="inlineStr">
        <is>
          <t>—</t>
        </is>
      </c>
      <c r="L45" t="inlineStr">
        <is>
          <t>Guernsey-domiciled LP fund. Invests in established African businesses via buyout/growth transactions. Investec AM rebranded to Ninety-One in 2020. Commitment amount undisclosed; GIPF 2023 AR lists fund in unlisted investment programme (p.96).</t>
        </is>
      </c>
      <c r="M45" t="inlineStr">
        <is>
          <t>Private Equity</t>
        </is>
      </c>
      <c r="N45" t="inlineStr">
        <is>
          <t>Generalist</t>
        </is>
      </c>
      <c r="O45" t="inlineStr">
        <is>
          <t>Fund LP</t>
        </is>
      </c>
    </row>
    <row r="46" ht="45.75" customHeight="1" s="26">
      <c r="A46" t="inlineStr">
        <is>
          <t>Neoma Africa Fund III (B) L.P. (previously Abraaj Africa Fund III)</t>
        </is>
      </c>
      <c r="B46" t="inlineStr">
        <is>
          <t>Neoma Capital Partners (formerly Abraaj Group)</t>
        </is>
      </c>
      <c r="C46" t="inlineStr">
        <is>
          <t>c.2014 (est.; original Abraaj vintage)</t>
        </is>
      </c>
      <c r="E46" t="inlineStr">
        <is>
          <t>Private Equity</t>
        </is>
      </c>
      <c r="F46" t="inlineStr">
        <is>
          <t>Sub-Saharan Africa</t>
        </is>
      </c>
      <c r="G46" t="n">
        <v>1</v>
      </c>
      <c r="H46" t="inlineStr">
        <is>
          <t>Government Institutions Pension Fund (GIPF)</t>
        </is>
      </c>
      <c r="I46" t="n">
        <v>4</v>
      </c>
      <c r="J46" t="inlineStr">
        <is>
          <t>BII; FMO; IFC; IFU</t>
        </is>
      </c>
      <c r="K46" t="inlineStr">
        <is>
          <t>—</t>
        </is>
      </c>
      <c r="L46" t="inlineStr">
        <is>
          <t>Cayman Islands LP. Provides growth capital to Sub-Saharan Africa portfolio companies. Originally managed by Abraaj Group; fund transitioned to Neoma Capital Partners after Abraaj bankruptcy 2018. Source: GIPF 2023 AR p.97. DFI project-database cross-check identifies BII, FMO, IFC and IFU as Neoma/Abraaj Africa Fund III investors.</t>
        </is>
      </c>
      <c r="M46" t="inlineStr">
        <is>
          <t>Private Equity</t>
        </is>
      </c>
      <c r="N46" t="inlineStr">
        <is>
          <t>Generalist</t>
        </is>
      </c>
      <c r="O46" t="inlineStr">
        <is>
          <t>Fund LP</t>
        </is>
      </c>
    </row>
    <row r="47">
      <c r="A47" t="inlineStr">
        <is>
          <t>Actis Africa fund (specific fund not named in AR)</t>
        </is>
      </c>
      <c r="B47" t="inlineStr">
        <is>
          <t>Actis Investment Management Limited</t>
        </is>
      </c>
      <c r="C47" t="inlineStr">
        <is>
          <t>Unknown</t>
        </is>
      </c>
      <c r="E47" t="inlineStr">
        <is>
          <t>Private Equity</t>
        </is>
      </c>
      <c r="F47" t="inlineStr">
        <is>
          <t>Africa (Pan-African)</t>
        </is>
      </c>
      <c r="G47" t="n">
        <v>1</v>
      </c>
      <c r="H47" t="inlineStr">
        <is>
          <t>Government Institutions Pension Fund (GIPF)</t>
        </is>
      </c>
      <c r="I47" t="n">
        <v>0</v>
      </c>
      <c r="J47" t="inlineStr">
        <is>
          <t>—</t>
        </is>
      </c>
      <c r="K47" t="inlineStr">
        <is>
          <t>—</t>
        </is>
      </c>
      <c r="L47" t="inlineStr">
        <is>
          <t>GIPF 2023 AR lists Actis IM Ltd with 'Africa Private Equity' mandate; specific fund name not stated. FY2023 market value N$101.5m (~USD 5.6m). Source: GIPF 2023 Annual Report p.84.</t>
        </is>
      </c>
      <c r="M47" t="inlineStr">
        <is>
          <t>Private Equity</t>
        </is>
      </c>
      <c r="N47" t="inlineStr">
        <is>
          <t>Multi-Sector</t>
        </is>
      </c>
      <c r="O47" t="inlineStr">
        <is>
          <t>Fund LP</t>
        </is>
      </c>
    </row>
    <row r="48">
      <c r="A48" t="inlineStr">
        <is>
          <t>Growthpoint Investec Africa Properties Limited</t>
        </is>
      </c>
      <c r="B48" t="inlineStr">
        <is>
          <t>Growthpoint Properties / Investec</t>
        </is>
      </c>
      <c r="C48" t="inlineStr">
        <is>
          <t>c.2016 (est.)</t>
        </is>
      </c>
      <c r="E48" t="inlineStr">
        <is>
          <t>Real Estate</t>
        </is>
      </c>
      <c r="F48" t="inlineStr">
        <is>
          <t>Africa (ex-South Africa): Ghana, Kenya, Morocco, Mozambique, Tanzania, Zambia</t>
        </is>
      </c>
      <c r="G48" t="n">
        <v>1</v>
      </c>
      <c r="H48" t="inlineStr">
        <is>
          <t>Government Institutions Pension Fund (GIPF)</t>
        </is>
      </c>
      <c r="I48" t="n">
        <v>0</v>
      </c>
      <c r="J48" t="inlineStr">
        <is>
          <t>—</t>
        </is>
      </c>
      <c r="K48" t="inlineStr">
        <is>
          <t>—</t>
        </is>
      </c>
      <c r="L48" t="inlineStr">
        <is>
          <t>Pan-African commercial real estate fund. Primary targets: Ghana, Kenya, Morocco, Mozambique, Tanzania, Zambia. Secondary: Angola, Botswana, Côte d'Ivoire, Cameroon, Ethiopia, Gabon, Mauritius, Namibia, Nigeria, Rwanda, Uganda. Source: GIPF 2023 AR p.96.</t>
        </is>
      </c>
      <c r="M48" t="inlineStr">
        <is>
          <t>Real Estate</t>
        </is>
      </c>
      <c r="N48" t="inlineStr">
        <is>
          <t>Commercial Real Estate (Pan-African)</t>
        </is>
      </c>
      <c r="O48" t="inlineStr">
        <is>
          <t>Fund LP</t>
        </is>
      </c>
    </row>
    <row r="49">
      <c r="A49" t="inlineStr">
        <is>
          <t>Teranga Capital</t>
        </is>
      </c>
      <c r="B49" t="inlineStr">
        <is>
          <t>I&amp;P (Investisseurs &amp; Partenaires) / Local managers</t>
        </is>
      </c>
      <c r="C49" t="inlineStr">
        <is>
          <t>2016</t>
        </is>
      </c>
      <c r="D49" t="n">
        <v>5.5</v>
      </c>
      <c r="E49" t="inlineStr">
        <is>
          <t>Private Equity / Impact</t>
        </is>
      </c>
      <c r="F49" t="inlineStr">
        <is>
          <t>Domestic (Senegal)</t>
        </is>
      </c>
      <c r="G49" t="n">
        <v>1</v>
      </c>
      <c r="H49" t="inlineStr">
        <is>
          <t>FONSIS</t>
        </is>
      </c>
      <c r="I49" t="n">
        <v>1</v>
      </c>
      <c r="J49" t="inlineStr">
        <is>
          <t>European Union / IFAD</t>
        </is>
      </c>
      <c r="K49" t="inlineStr">
        <is>
          <t>Sonatel; SG Senegal; ASKIA Insurance</t>
        </is>
      </c>
      <c r="L49" t="inlineStr">
        <is>
          <t>FONSIS is a founding LP/shareholder alongside I&amp;P (via IPDEV2), Sonatel, SG Senegal, and ASKIA Insurance. EU is a governmental partner providing co-financing. Fund targets Senegalese SMEs via impact investing. Initial raise CFA 3.2bn (~USD 5.5m). Source: Teranga Capital website.</t>
        </is>
      </c>
      <c r="M49" t="inlineStr">
        <is>
          <t>Private Equity</t>
        </is>
      </c>
      <c r="N49" t="inlineStr">
        <is>
          <t>SME Finance / Impact</t>
        </is>
      </c>
      <c r="O49" t="inlineStr">
        <is>
          <t>Fund LP</t>
        </is>
      </c>
    </row>
    <row r="50">
      <c r="A50" t="inlineStr">
        <is>
          <t>Amethis West Africa</t>
        </is>
      </c>
      <c r="B50" t="inlineStr">
        <is>
          <t>Amethis Finance</t>
        </is>
      </c>
      <c r="C50" t="n">
        <v>2014</v>
      </c>
      <c r="D50" t="n">
        <v>50</v>
      </c>
      <c r="E50" t="inlineStr">
        <is>
          <t>Private Equity</t>
        </is>
      </c>
      <c r="F50" t="inlineStr">
        <is>
          <t>CIMA zone (Francophone West &amp; Central Africa)</t>
        </is>
      </c>
      <c r="G50" t="n">
        <v>1</v>
      </c>
      <c r="H50" t="inlineStr">
        <is>
          <t>CDC Gabon (State pension fund of Gabon)</t>
        </is>
      </c>
      <c r="I50" t="n">
        <v>1</v>
      </c>
      <c r="J50" t="inlineStr">
        <is>
          <t>BOAD (Banque Ouest Africaine de Développement)</t>
        </is>
      </c>
      <c r="K50" t="inlineStr">
        <is>
          <t>Colina Group (Saham)</t>
        </is>
      </c>
      <c r="L50" t="inlineStr">
        <is>
          <t>First PE fund registered in Francophone Africa; CIMA Code–eligible structure; CNPS-CI (Côte d'Ivoire) also likely LP (M confidence per Pension Policy International).</t>
        </is>
      </c>
      <c r="M50" t="inlineStr">
        <is>
          <t>Private Equity</t>
        </is>
      </c>
      <c r="N50" t="inlineStr">
        <is>
          <t>Multi-sector</t>
        </is>
      </c>
      <c r="O50" t="inlineStr">
        <is>
          <t>Fund LP</t>
        </is>
      </c>
    </row>
    <row r="51">
      <c r="A51" t="inlineStr">
        <is>
          <t>Everstrong Kenya Infrastructure Fund (EKIF)</t>
        </is>
      </c>
      <c r="B51" t="inlineStr">
        <is>
          <t>Everstrong Capital</t>
        </is>
      </c>
      <c r="C51" t="n">
        <v>2024</v>
      </c>
      <c r="D51" t="n">
        <v>1000</v>
      </c>
      <c r="E51" t="inlineStr">
        <is>
          <t>Infrastructure</t>
        </is>
      </c>
      <c r="F51" t="inlineStr">
        <is>
          <t>Kenya / East Africa</t>
        </is>
      </c>
      <c r="G51" t="n">
        <v>1</v>
      </c>
      <c r="H51" t="inlineStr">
        <is>
          <t>Kenya Power &amp; Lighting Co. Pension Fund (KPLC PF) (USD 9m)</t>
        </is>
      </c>
      <c r="I51" t="n">
        <v>0</v>
      </c>
      <c r="J51" t="inlineStr">
        <is>
          <t>—</t>
        </is>
      </c>
      <c r="K51" t="inlineStr">
        <is>
          <t>U.S. public pension funds (via MiDA Advisors campaign)</t>
        </is>
      </c>
      <c r="L51" t="inlineStr">
        <is>
          <t>MiDA Advisors / USAID INVEST-facilitated U.S.-African pension campaign; KEPFIC pioneer-member entry point. Linked to Usahihi Nairobi-Mombasa Expressway pipeline.</t>
        </is>
      </c>
      <c r="M51" t="inlineStr">
        <is>
          <t>Infrastructure</t>
        </is>
      </c>
      <c r="N51" t="inlineStr">
        <is>
          <t>Multi-sector Infrastructure</t>
        </is>
      </c>
      <c r="O51" t="inlineStr">
        <is>
          <t>Fund LP</t>
        </is>
      </c>
    </row>
    <row r="52">
      <c r="A52" t="inlineStr">
        <is>
          <t>African Development Partners III (ADP III)</t>
        </is>
      </c>
      <c r="B52" t="inlineStr">
        <is>
          <t>Development Partners International (DPI)</t>
        </is>
      </c>
      <c r="C52" t="n">
        <v>2021</v>
      </c>
      <c r="D52" t="n">
        <v>900</v>
      </c>
      <c r="E52" t="inlineStr">
        <is>
          <t>Private Equity</t>
        </is>
      </c>
      <c r="F52" t="inlineStr">
        <is>
          <t>Pan-Africa</t>
        </is>
      </c>
      <c r="G52" t="n">
        <v>4</v>
      </c>
      <c r="H52" t="inlineStr">
        <is>
          <t>Eskom Pension and Provident Fund (EPPF) (USD 20m); KenGen Staff Retirement Benefits Scheme; CBK Pension Fund (Kenya, Central Bank of Kenya); Old Mutual Umbrella Retirement Benefits Scheme (Kenya)</t>
        </is>
      </c>
      <c r="I52" t="n">
        <v>9</v>
      </c>
      <c r="J52" t="inlineStr">
        <is>
          <t>BII; FMO; Finnfund; IFC; IFU; Norfund; Proparco/FISEA; SIFEM; Swedfund</t>
        </is>
      </c>
      <c r="K52" t="inlineStr">
        <is>
          <t>Chicago Public School Teachers Pension (USD 10m); City of Philadelphia Board of Pensions (USD 50m); City of Hartford Pension Commission (USD 5m)</t>
        </is>
      </c>
      <c r="L52" t="inlineStr">
        <is>
          <t>Rare case of multiple named African pension LPs in a USD 900m pan-African PE fund, disclosed via MiDA Advisors / USAID INVEST campaign rather than GP press release. DFI project-database cross-check identifies BII, FMO, Finnfund, IFC, IFU, Norfund, Proparco/FISEA, SIFEM and Swedfund as ADP III LPs/parallel fund investors.</t>
        </is>
      </c>
      <c r="M52" t="inlineStr">
        <is>
          <t>Private Equity</t>
        </is>
      </c>
      <c r="N52" t="inlineStr">
        <is>
          <t>Multi-sector</t>
        </is>
      </c>
      <c r="O52" t="inlineStr">
        <is>
          <t>Fund LP</t>
        </is>
      </c>
    </row>
    <row r="53">
      <c r="A53" t="inlineStr">
        <is>
          <t>Nigeria Infrastructure Debt Fund (NIDF)</t>
        </is>
      </c>
      <c r="B53" t="inlineStr">
        <is>
          <t>Chapel Hill Denham</t>
        </is>
      </c>
      <c r="C53" t="n">
        <v>2017</v>
      </c>
      <c r="D53" t="n">
        <v>190</v>
      </c>
      <c r="E53" t="inlineStr">
        <is>
          <t>Infrastructure Debt</t>
        </is>
      </c>
      <c r="F53" t="inlineStr">
        <is>
          <t>Nigeria</t>
        </is>
      </c>
      <c r="G53" t="n">
        <v>22</v>
      </c>
      <c r="H53" t="inlineStr">
        <is>
          <t>Multiple Nigerian PFAs (22 PFAs across Series 1-6; not individually named)</t>
        </is>
      </c>
      <c r="I53" t="n">
        <v>1</v>
      </c>
      <c r="J53" t="inlineStr">
        <is>
          <t>AfDB (USD 10m naira-equivalent)</t>
        </is>
      </c>
      <c r="K53" t="inlineStr">
        <is>
          <t>—</t>
        </is>
      </c>
      <c r="L53" t="inlineStr">
        <is>
          <t>First Naira-denominated listed infrastructure debt fund (NGX/FMDQ). Pension funds are the dominant investor base; 6 capital raises since June 2017.</t>
        </is>
      </c>
      <c r="M53" t="inlineStr">
        <is>
          <t>Private Credit</t>
        </is>
      </c>
      <c r="N53" t="inlineStr">
        <is>
          <t>Infrastructure Debt</t>
        </is>
      </c>
      <c r="O53" t="inlineStr">
        <is>
          <t>Fund LP</t>
        </is>
      </c>
    </row>
    <row r="54">
      <c r="A54" t="inlineStr">
        <is>
          <t>Acorn Student Accommodation D-REIT (ASA D-REIT)</t>
        </is>
      </c>
      <c r="B54" t="inlineStr">
        <is>
          <t>Acorn Holdings / Acorn Investment Management</t>
        </is>
      </c>
      <c r="C54" t="n">
        <v>2021</v>
      </c>
      <c r="D54" t="n">
        <v>60</v>
      </c>
      <c r="E54" t="inlineStr">
        <is>
          <t>Real Estate (student housing)</t>
        </is>
      </c>
      <c r="F54" t="inlineStr">
        <is>
          <t>Kenya</t>
        </is>
      </c>
      <c r="G54" t="n">
        <v>1</v>
      </c>
      <c r="H54" t="inlineStr">
        <is>
          <t>KEPFIC (Kenya Pension Funds Investment Consortium) (USD 11m pooled)</t>
        </is>
      </c>
      <c r="I54" t="n">
        <v>0</v>
      </c>
      <c r="J54" t="inlineStr">
        <is>
          <t>—</t>
        </is>
      </c>
      <c r="K54" t="inlineStr">
        <is>
          <t>InfraCo Africa (development REIT co-investor)</t>
        </is>
      </c>
      <c r="L54" t="inlineStr">
        <is>
          <t>Kenya first development REIT; KEPFIC pooled pension entry; blended return 18.3% per IFC.</t>
        </is>
      </c>
      <c r="M54" t="inlineStr">
        <is>
          <t>Real Estate</t>
        </is>
      </c>
      <c r="N54" t="inlineStr">
        <is>
          <t>Student Housing</t>
        </is>
      </c>
      <c r="O54" t="inlineStr">
        <is>
          <t>Fund LP</t>
        </is>
      </c>
    </row>
    <row r="55">
      <c r="A55" t="inlineStr">
        <is>
          <t>Enko Impact Credit Fund</t>
        </is>
      </c>
      <c r="B55" t="inlineStr">
        <is>
          <t>Enko Capital</t>
        </is>
      </c>
      <c r="C55" t="inlineStr">
        <is>
          <t>2025</t>
        </is>
      </c>
      <c r="D55" t="n">
        <v>130</v>
      </c>
      <c r="E55" t="inlineStr">
        <is>
          <t>Private credit</t>
        </is>
      </c>
      <c r="F55" t="inlineStr">
        <is>
          <t>Sub-Saharan Africa</t>
        </is>
      </c>
      <c r="G55" t="n">
        <v>1</v>
      </c>
      <c r="H55" t="inlineStr">
        <is>
          <t>PIC (mgr for GEPF) (USD 30m)</t>
        </is>
      </c>
      <c r="I55" t="n">
        <v>1</v>
      </c>
      <c r="J55" t="inlineStr">
        <is>
          <t>BII (USD 25m)</t>
        </is>
      </c>
      <c r="K55" t="inlineStr">
        <is>
          <t>SICOM Global Fund; other unnamed African pension funds and institutional investors</t>
        </is>
      </c>
      <c r="L55" t="inlineStr">
        <is>
          <t>BII-PIC partnership first investment; Ecofin reports USD 130m first close, with PIC USD 30m and BII USD 25m commitments.</t>
        </is>
      </c>
      <c r="M55" t="inlineStr">
        <is>
          <t>Private Credit</t>
        </is>
      </c>
      <c r="N55" t="inlineStr">
        <is>
          <t>SME / Mid-market finance</t>
        </is>
      </c>
      <c r="O55" t="inlineStr">
        <is>
          <t>Fund LP</t>
        </is>
      </c>
    </row>
    <row r="56">
      <c r="A56" t="inlineStr">
        <is>
          <t>Hlayisani Venture Fund II</t>
        </is>
      </c>
      <c r="B56" t="inlineStr">
        <is>
          <t>Hlayisani Capital</t>
        </is>
      </c>
      <c r="C56" t="inlineStr">
        <is>
          <t>2026</t>
        </is>
      </c>
      <c r="D56" t="inlineStr">
        <is>
          <t>~27 (ZAR 500m first close)</t>
        </is>
      </c>
      <c r="E56" t="inlineStr">
        <is>
          <t>VC / growth equity</t>
        </is>
      </c>
      <c r="F56" t="inlineStr">
        <is>
          <t>South Africa</t>
        </is>
      </c>
      <c r="G56" t="n">
        <v>1</v>
      </c>
      <c r="H56" t="inlineStr">
        <is>
          <t>PIC (mgr for GEPF)</t>
        </is>
      </c>
      <c r="I56" t="n">
        <v>0</v>
      </c>
      <c r="K56" t="inlineStr">
        <is>
          <t>SA SME Fund</t>
        </is>
      </c>
      <c r="L56" t="inlineStr">
        <is>
          <t>ZAR 500m first close anchored by PIC and SA SME Fund; South African venture/growth fund for technology-enabled SMEs and platforms.</t>
        </is>
      </c>
      <c r="M56" t="inlineStr">
        <is>
          <t>Venture Capital</t>
        </is>
      </c>
      <c r="N56" t="inlineStr">
        <is>
          <t>Technology-enabled SMEs</t>
        </is>
      </c>
      <c r="O56" t="inlineStr">
        <is>
          <t>Fund LP</t>
        </is>
      </c>
    </row>
    <row r="57">
      <c r="A57" t="inlineStr">
        <is>
          <t>African Women Impact Fund (AWIF)</t>
        </is>
      </c>
      <c r="B57" t="inlineStr">
        <is>
          <t>African Women Impact Fund / RisCura</t>
        </is>
      </c>
      <c r="C57" t="inlineStr">
        <is>
          <t>2022</t>
        </is>
      </c>
      <c r="D57" t="n">
        <v>60</v>
      </c>
      <c r="E57" t="inlineStr">
        <is>
          <t>Fund of Funds / gender-lens private markets</t>
        </is>
      </c>
      <c r="F57" t="inlineStr">
        <is>
          <t>Africa</t>
        </is>
      </c>
      <c r="G57" t="n">
        <v>2</v>
      </c>
      <c r="H57" t="inlineStr">
        <is>
          <t>Motor Industry Retirement Fund (MIRF); Copartes Pension Fund (combined USD 45m under AWIF initiative)</t>
        </is>
      </c>
      <c r="I57" t="n">
        <v>1</v>
      </c>
      <c r="J57" t="inlineStr">
        <is>
          <t>BADEA (USD 15m)</t>
        </is>
      </c>
      <c r="L57" t="inlineStr">
        <is>
          <t>USD 60m first commitment combines USD 45m from MIRF/Copartes with USD 15m BADEA; AWIF backs women fund managers and gender-diverse investment teams.</t>
        </is>
      </c>
      <c r="M57" t="inlineStr">
        <is>
          <t>Fund of Funds</t>
        </is>
      </c>
      <c r="N57" t="inlineStr">
        <is>
          <t>Gender-lens / women fund managers</t>
        </is>
      </c>
      <c r="O57" t="inlineStr">
        <is>
          <t>Fund of Funds LP</t>
        </is>
      </c>
    </row>
    <row r="58">
      <c r="A58" t="inlineStr">
        <is>
          <t>Kholo Capital Mezzanine Debt Fund I</t>
        </is>
      </c>
      <c r="B58" t="inlineStr">
        <is>
          <t>Kholo Capital</t>
        </is>
      </c>
      <c r="C58" t="inlineStr">
        <is>
          <t>2023</t>
        </is>
      </c>
      <c r="D58" t="inlineStr">
        <is>
          <t>~47 at first close (ZAR 870m); later ZAR 1.4bn final close</t>
        </is>
      </c>
      <c r="E58" t="inlineStr">
        <is>
          <t>Private credit / mezzanine debt</t>
        </is>
      </c>
      <c r="F58" t="inlineStr">
        <is>
          <t>Southern Africa</t>
        </is>
      </c>
      <c r="G58" t="n">
        <v>2</v>
      </c>
      <c r="H58" t="inlineStr">
        <is>
          <t>Mineworkers Provident Fund; National Fund for Municipal Workers (NFMW)</t>
        </is>
      </c>
      <c r="I58" t="n">
        <v>0</v>
      </c>
      <c r="K58" t="inlineStr">
        <is>
          <t>Other institutional investors not individually split in public first-close coverage</t>
        </is>
      </c>
      <c r="L58" t="inlineStr">
        <is>
          <t>First close named two South African pension funds; fund provides mezzanine/private debt to mid-market businesses in Southern Africa.</t>
        </is>
      </c>
      <c r="M58" t="inlineStr">
        <is>
          <t>Private Credit</t>
        </is>
      </c>
      <c r="N58" t="inlineStr">
        <is>
          <t>Mid-market finance</t>
        </is>
      </c>
      <c r="O58" t="inlineStr">
        <is>
          <t>Fund LP</t>
        </is>
      </c>
    </row>
    <row r="59">
      <c r="A59" t="inlineStr">
        <is>
          <t>Africa Credit Opportunities Fund III (ACO Fund 3)</t>
        </is>
      </c>
      <c r="B59" t="inlineStr">
        <is>
          <t>Ninety One</t>
        </is>
      </c>
      <c r="C59" t="inlineStr">
        <is>
          <t>2024/25</t>
        </is>
      </c>
      <c r="D59" t="inlineStr">
        <is>
          <t>260 first close</t>
        </is>
      </c>
      <c r="E59" t="inlineStr">
        <is>
          <t>Private credit</t>
        </is>
      </c>
      <c r="F59" t="inlineStr">
        <is>
          <t>Africa + emerging markets</t>
        </is>
      </c>
      <c r="G59" t="n">
        <v>1</v>
      </c>
      <c r="H59" t="inlineStr">
        <is>
          <t>GEPF (via PIC) (amount not disclosed)</t>
        </is>
      </c>
      <c r="I59" t="n">
        <v>4</v>
      </c>
      <c r="J59" t="inlineStr">
        <is>
          <t>IFC, BII, SIFEM, FinDev Canada</t>
        </is>
      </c>
      <c r="K59" t="inlineStr">
        <is>
          <t>Standard Bank USD 45m debt facility</t>
        </is>
      </c>
      <c r="L59" t="inlineStr">
        <is>
          <t>GEPF-approved allocation to specific Ninety One African credit fund; GP first-close source names DFI anchors and Standard Bank facility.</t>
        </is>
      </c>
      <c r="M59" t="inlineStr">
        <is>
          <t>Private Credit</t>
        </is>
      </c>
      <c r="N59" t="inlineStr">
        <is>
          <t>SME / Mid-market finance; Infrastructure</t>
        </is>
      </c>
      <c r="O59" t="inlineStr">
        <is>
          <t>Fund LP</t>
        </is>
      </c>
    </row>
  </sheetData>
  <autoFilter ref="A1:L46"/>
  <mergeCells count="1">
    <mergeCell ref="A1:L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E49"/>
  <sheetViews>
    <sheetView zoomScaleNormal="100" workbookViewId="0">
      <pane ySplit="3" topLeftCell="A4" activePane="bottomLeft" state="frozen"/>
      <selection pane="bottomLeft" activeCell="C4" sqref="C4"/>
    </sheetView>
  </sheetViews>
  <sheetFormatPr baseColWidth="8" defaultColWidth="8.7109375" defaultRowHeight="15"/>
  <cols>
    <col width="34" customWidth="1" style="26" min="1" max="1"/>
    <col width="18" customWidth="1" style="26" min="2" max="2"/>
    <col width="72" customWidth="1" style="26" min="3" max="3"/>
    <col width="62" customWidth="1" style="26" min="4" max="4"/>
    <col width="18" customWidth="1" style="26" min="5" max="5"/>
  </cols>
  <sheetData>
    <row r="1" ht="27.75" customHeight="1" s="26">
      <c r="A1" s="25" t="inlineStr">
        <is>
          <t>DFI co-investor frequency: refreshed after May 2026 inclusion audit; counts only retained vehicles with African PF/SWF involvement.</t>
        </is>
      </c>
    </row>
    <row r="3" ht="45.75" customHeight="1" s="26">
      <c r="A3" s="17" t="inlineStr">
        <is>
          <t>DFI / Catalytic capital provider</t>
        </is>
      </c>
      <c r="B3" s="17" t="inlineStr">
        <is>
          <t>Co-investments in funds with African PF/SWF LP</t>
        </is>
      </c>
      <c r="C3" s="17" t="inlineStr">
        <is>
          <t>Notable vehicles</t>
        </is>
      </c>
      <c r="D3" s="17" t="inlineStr">
        <is>
          <t>Strategic role</t>
        </is>
      </c>
      <c r="E3" s="17" t="inlineStr">
        <is>
          <t>Frequency tier</t>
        </is>
      </c>
    </row>
    <row r="4" ht="51.75" customHeight="1" s="26">
      <c r="A4" s="16" t="inlineStr">
        <is>
          <t>BII</t>
        </is>
      </c>
      <c r="B4" s="16" t="n">
        <v>15</v>
      </c>
      <c r="C4" s="16" t="inlineStr">
        <is>
          <t>Growth Investment Partners (GIP) Ghana; Growth Investment Partners (GIP) Zambia; Ascent Rift Valley Fund I (ARVF I); Ascent Rift Valley Fund II (ARVF II); Catalyst Fund II; Vantage Mezzanine IV (Pan-African sub-fund); Convergence Partners Communications Infrastructure Fund; Sahel Capital Fund for Agricultural Finance in Nigeria (FAFIN); Capital Alliance Private Equity III (CAPE III); Capital Alliance Private Equity IV (CAPE IV); Africa Food Security Fund (AFSF); Verod Growth Fund III; Neoma Africa Fund III (B) L.P. (previously Abraaj Africa Fund III); African Development Partners III (ADP III); Enko Impact Credit Fund</t>
        </is>
      </c>
      <c r="D4" s="16" t="inlineStr">
        <is>
          <t>Frequent anchor/catalytic DFI, including BII-established GIP platforms designed to crowd in local pension capital; CAPE IV evidence supports Nigerian pension participation.</t>
        </is>
      </c>
      <c r="E4" s="16" t="inlineStr">
        <is>
          <t>1 (Top tier)</t>
        </is>
      </c>
    </row>
    <row r="5" ht="23.25" customHeight="1" s="26">
      <c r="A5" s="16" t="inlineStr">
        <is>
          <t>IFC</t>
        </is>
      </c>
      <c r="B5" s="16" t="n">
        <v>11</v>
      </c>
      <c r="C5" s="16" t="inlineStr">
        <is>
          <t>Ascent Rift Valley Fund II (ARVF II); Adenia Capital V; Catalyst Fund II; Vantage Mezzanine IV (Pan-African sub-fund); Africa50 Infrastructure Acceleration Fund (IAF); Convergence Partners Communications Infrastructure Fund; Verod Growth Fund III; MedServe oncology and diagnostics expansion; Oasis Africa VC Fund (OAF); Neoma Africa Fund III (B) L.P. (previously Abraaj Africa Fund III); African Development Partners III (ADP III)</t>
        </is>
      </c>
      <c r="D5" s="16" t="inlineStr">
        <is>
          <t>World Bank Group investor and disclosure source; active in flagship PE/infrastructure vehicles.</t>
        </is>
      </c>
      <c r="E5" s="16" t="inlineStr">
        <is>
          <t>1 (Top tier)</t>
        </is>
      </c>
    </row>
    <row r="6" ht="34.5" customHeight="1" s="26">
      <c r="A6" s="16" t="inlineStr">
        <is>
          <t>AfDB</t>
        </is>
      </c>
      <c r="B6" s="16" t="n">
        <v>9</v>
      </c>
      <c r="C6" s="16" t="inlineStr">
        <is>
          <t>Mediterrania Capital II / III / IV; AfricInvest FIVE (Financial Inclusion Vehicle); Africa50 (general); Africa50 Infrastructure Acceleration Fund (IAF); Nigeria Infrastructure Fund (NIF, NSIA sub-fund); Sahel Capital Fund for Agricultural Finance in Nigeria (FAFIN); Africa Food Security Fund (AFSF); InfraCredit; Nigeria Infrastructure Debt Fund (NIDF)</t>
        </is>
      </c>
      <c r="D6" s="16" t="inlineStr">
        <is>
          <t>Co-investor or catalytic-capital provider appearing in retained vehicles with African PF/SWF participation.</t>
        </is>
      </c>
      <c r="E6" s="16" t="inlineStr">
        <is>
          <t>1 (Top tier)</t>
        </is>
      </c>
    </row>
    <row r="7" ht="34.5" customHeight="1" s="26">
      <c r="A7" s="16" t="inlineStr">
        <is>
          <t>Norfund</t>
        </is>
      </c>
      <c r="B7" s="16" t="n">
        <v>9</v>
      </c>
      <c r="C7" s="16" t="inlineStr">
        <is>
          <t>Growth Investment Partners (GIP) Ghana; Ascent Rift Valley Fund I (ARVF I); Ascent Rift Valley Fund II (ARVF II); Adenia Capital V; Vantage Mezzanine IV (Pan-African sub-fund); AfricInvest FIVE (Financial Inclusion Vehicle); Verod Growth Fund III; Oasis Africa VC Fund (OAF); African Development Partners III (ADP III)</t>
        </is>
      </c>
      <c r="D7" s="16" t="inlineStr">
        <is>
          <t>Frequent DFI co-investor in SME, infrastructure, and financial inclusion vehicles.</t>
        </is>
      </c>
      <c r="E7" s="16" t="inlineStr">
        <is>
          <t>1 (Top tier)</t>
        </is>
      </c>
    </row>
    <row r="8" ht="23.25" customHeight="1" s="26">
      <c r="A8" s="16" t="inlineStr">
        <is>
          <t>FMO</t>
        </is>
      </c>
      <c r="B8" s="16" t="n">
        <v>8</v>
      </c>
      <c r="C8" s="16" t="inlineStr">
        <is>
          <t>Ci-Gaba Fund of Funds; Ascent Rift Valley Fund I (ARVF I); Ascent Rift Valley Fund II (ARVF II); Adenia Capital V; Verod Growth Fund II; Verod Growth Fund III; Neoma Africa Fund III (B) L.P. (previously Abraaj Africa Fund III); African Development Partners III (ADP III)</t>
        </is>
      </c>
      <c r="D8" s="16" t="inlineStr">
        <is>
          <t>Co-investor or catalytic-capital provider appearing in retained vehicles with African PF/SWF participation.</t>
        </is>
      </c>
      <c r="E8" s="16" t="inlineStr">
        <is>
          <t>1 (Top tier)</t>
        </is>
      </c>
    </row>
    <row r="9" ht="23.25" customHeight="1" s="26">
      <c r="A9" s="16" t="inlineStr">
        <is>
          <t>Proparco</t>
        </is>
      </c>
      <c r="B9" s="16" t="n">
        <v>6</v>
      </c>
      <c r="C9" s="16" t="inlineStr">
        <is>
          <t>Ascent Rift Valley Fund II (ARVF II); Adenia Capital V; Catalyst Fund II; Verod Growth Fund III; Oasis Africa VC Fund (OAF); African Development Partners III (ADP III)</t>
        </is>
      </c>
      <c r="D9" s="16" t="inlineStr">
        <is>
          <t>Co-investor or catalytic-capital provider appearing in retained vehicles with African PF/SWF participation.</t>
        </is>
      </c>
      <c r="E9" s="16" t="inlineStr">
        <is>
          <t>1 (Top tier)</t>
        </is>
      </c>
    </row>
    <row r="10" ht="23.25" customHeight="1" s="26">
      <c r="A10" s="16" t="inlineStr">
        <is>
          <t>EIB</t>
        </is>
      </c>
      <c r="B10" s="16" t="n">
        <v>5</v>
      </c>
      <c r="C10" s="16" t="inlineStr">
        <is>
          <t>Adenia Capital V; Catalyst Fund II; Vantage Mezzanine IV (Pan-African sub-fund); Mediterrania Capital II / III / IV; Oasis Africa VC Fund (OAF)</t>
        </is>
      </c>
      <c r="D10" s="16" t="inlineStr">
        <is>
          <t>Co-investor or catalytic-capital provider appearing in retained vehicles with African PF/SWF participation.</t>
        </is>
      </c>
      <c r="E10" s="16" t="inlineStr">
        <is>
          <t>2 (Active)</t>
        </is>
      </c>
    </row>
    <row r="11" ht="23.25" customHeight="1" s="26">
      <c r="A11" s="16" t="inlineStr">
        <is>
          <t>IFU</t>
        </is>
      </c>
      <c r="B11" s="16" t="n">
        <v>4</v>
      </c>
      <c r="C11" s="16" t="inlineStr">
        <is>
          <t>AfricInvest FIVE (Financial Inclusion Vehicle); Africa Food Security Fund (AFSF); Neoma Africa Fund III (B) L.P. (previously Abraaj Africa Fund III); African Development Partners III (ADP III)</t>
        </is>
      </c>
      <c r="D11" s="16" t="inlineStr">
        <is>
          <t>Co-investor or catalytic-capital provider appearing in retained vehicles with African PF/SWF participation.</t>
        </is>
      </c>
      <c r="E11" s="16" t="inlineStr">
        <is>
          <t>2 (Active)</t>
        </is>
      </c>
    </row>
    <row r="12" ht="23.25" customHeight="1" s="26">
      <c r="A12" s="16" t="inlineStr">
        <is>
          <t>Swedfund</t>
        </is>
      </c>
      <c r="B12" s="16" t="n">
        <v>4</v>
      </c>
      <c r="C12" s="16" t="inlineStr">
        <is>
          <t>Growth Investment Partners (GIP) Zambia; Catalyst Fund II; Vantage Mezzanine IV (Pan-African sub-fund); African Development Partners III (ADP III)</t>
        </is>
      </c>
      <c r="D12" s="16" t="inlineStr">
        <is>
          <t>Co-investor or catalytic-capital provider appearing in retained vehicles with African PF/SWF participation.</t>
        </is>
      </c>
      <c r="E12" s="16" t="inlineStr">
        <is>
          <t>2 (Active)</t>
        </is>
      </c>
    </row>
    <row r="13" ht="34.5" customHeight="1" s="26">
      <c r="A13" s="16" t="inlineStr">
        <is>
          <t>DGGF</t>
        </is>
      </c>
      <c r="B13" s="16" t="n">
        <v>3</v>
      </c>
      <c r="C13" s="16" t="inlineStr">
        <is>
          <t>Sahel Capital Fund for Agricultural Finance in Nigeria (FAFIN); Africa Food Security Fund (AFSF); Oasis Africa VC Fund (OAF)</t>
        </is>
      </c>
      <c r="D13" s="16" t="inlineStr">
        <is>
          <t>Co-investor or catalytic-capital provider appearing in retained vehicles with African PF/SWF participation.</t>
        </is>
      </c>
      <c r="E13" s="16" t="inlineStr">
        <is>
          <t>2 (Active)</t>
        </is>
      </c>
    </row>
    <row r="14" ht="15" customHeight="1" s="26">
      <c r="A14" s="16" t="inlineStr">
        <is>
          <t>KfW</t>
        </is>
      </c>
      <c r="B14" s="16" t="n">
        <v>3</v>
      </c>
      <c r="C14" s="16" t="inlineStr">
        <is>
          <t>Oyass Capital (SME fund); AfricInvest FIVE (Financial Inclusion Vehicle); InfraCredit</t>
        </is>
      </c>
      <c r="D14" s="16" t="inlineStr">
        <is>
          <t>Co-investor or catalytic-capital provider appearing in retained vehicles with African PF/SWF participation.</t>
        </is>
      </c>
      <c r="E14" s="16" t="inlineStr">
        <is>
          <t>2 (Active)</t>
        </is>
      </c>
    </row>
    <row r="15" ht="15" customHeight="1" s="26">
      <c r="A15" s="16" t="inlineStr">
        <is>
          <t>SIFEM</t>
        </is>
      </c>
      <c r="B15" s="16" t="n">
        <v>3</v>
      </c>
      <c r="C15" s="16" t="inlineStr">
        <is>
          <t>Adenia Capital V; Catalyst Fund II; African Development Partners III (ADP III)</t>
        </is>
      </c>
      <c r="D15" s="16" t="inlineStr">
        <is>
          <t>Co-investor or catalytic-capital provider appearing in retained vehicles with African PF/SWF participation.</t>
        </is>
      </c>
      <c r="E15" s="16" t="inlineStr">
        <is>
          <t>2 (Active)</t>
        </is>
      </c>
    </row>
    <row r="16" ht="23.25" customHeight="1" s="26">
      <c r="A16" s="16" t="inlineStr">
        <is>
          <t>BIO</t>
        </is>
      </c>
      <c r="B16" s="16" t="n">
        <v>2</v>
      </c>
      <c r="C16" s="16" t="inlineStr">
        <is>
          <t>Ascent Rift Valley Fund II (ARVF II); Verod Growth Fund III</t>
        </is>
      </c>
      <c r="D16" s="16" t="inlineStr">
        <is>
          <t>Co-investor or catalytic-capital provider appearing in retained vehicles with African PF/SWF participation.</t>
        </is>
      </c>
      <c r="E16" s="16" t="inlineStr">
        <is>
          <t>3 (Selective / TA)</t>
        </is>
      </c>
    </row>
    <row r="17" ht="15" customHeight="1" s="26">
      <c r="A17" s="16" t="inlineStr">
        <is>
          <t>DEG</t>
        </is>
      </c>
      <c r="B17" s="16" t="n">
        <v>2</v>
      </c>
      <c r="C17" s="16" t="inlineStr">
        <is>
          <t>Adenia Capital V; Vantage Mezzanine IV (Pan-African sub-fund)</t>
        </is>
      </c>
      <c r="D17" s="16" t="inlineStr">
        <is>
          <t>Co-investor or catalytic-capital provider appearing in retained vehicles with African PF/SWF participation.</t>
        </is>
      </c>
      <c r="E17" s="16" t="inlineStr">
        <is>
          <t>3 (Selective / TA)</t>
        </is>
      </c>
    </row>
    <row r="18" ht="15" customHeight="1" s="26">
      <c r="A18" s="16" t="inlineStr">
        <is>
          <t>European Union / IFAD</t>
        </is>
      </c>
      <c r="B18" s="16" t="n">
        <v>2</v>
      </c>
      <c r="C18" s="16" t="inlineStr">
        <is>
          <t>Yield Uganda Investment Fund; Teranga Capital</t>
        </is>
      </c>
      <c r="D18" s="16" t="inlineStr">
        <is>
          <t>Co-investor or catalytic-capital provider appearing in retained vehicles with African PF/SWF participation.</t>
        </is>
      </c>
      <c r="E18" s="16" t="inlineStr">
        <is>
          <t>3 (Selective / TA)</t>
        </is>
      </c>
    </row>
    <row r="19" ht="15" customHeight="1" s="26">
      <c r="A19" s="16" t="inlineStr">
        <is>
          <t>FSD Africa Investments</t>
        </is>
      </c>
      <c r="B19" s="16" t="n">
        <v>2</v>
      </c>
      <c r="C19" s="16" t="inlineStr">
        <is>
          <t>Ci-Gaba Fund of Funds; Rwanda SME Growth Fund</t>
        </is>
      </c>
      <c r="D19" s="16" t="inlineStr">
        <is>
          <t>Catalytic capital provider focused on local institutional-capital mobilization and product design.</t>
        </is>
      </c>
      <c r="E19" s="16" t="inlineStr">
        <is>
          <t>3 (Selective / TA)</t>
        </is>
      </c>
    </row>
    <row r="20" ht="15" customHeight="1" s="26">
      <c r="A20" s="16" t="inlineStr">
        <is>
          <t>Finnfund</t>
        </is>
      </c>
      <c r="B20" s="16" t="n">
        <v>2</v>
      </c>
      <c r="C20" s="16" t="inlineStr">
        <is>
          <t>Vantage Mezzanine IV (Pan-African sub-fund); African Development Partners III (ADP III)</t>
        </is>
      </c>
      <c r="D20" s="16" t="inlineStr">
        <is>
          <t>Co-investor or catalytic-capital provider appearing in retained vehicles with African PF/SWF participation.</t>
        </is>
      </c>
      <c r="E20" s="16" t="inlineStr">
        <is>
          <t>3 (Selective / TA)</t>
        </is>
      </c>
    </row>
    <row r="21" ht="15" customHeight="1" s="26">
      <c r="A21" s="16" t="inlineStr">
        <is>
          <t>BOAD</t>
        </is>
      </c>
      <c r="B21" s="16" t="n">
        <v>1</v>
      </c>
      <c r="C21" s="16" t="inlineStr">
        <is>
          <t>Amethis West Africa</t>
        </is>
      </c>
      <c r="D21" s="16" t="inlineStr">
        <is>
          <t>Co-investor or catalytic-capital provider appearing in retained vehicles with African PF/SWF participation.</t>
        </is>
      </c>
      <c r="E21" s="16" t="inlineStr">
        <is>
          <t>3 (Selective / TA)</t>
        </is>
      </c>
    </row>
    <row r="22" ht="15" customHeight="1" s="26">
      <c r="A22" s="16" t="inlineStr">
        <is>
          <t>DFC</t>
        </is>
      </c>
      <c r="B22" s="16" t="n">
        <v>1</v>
      </c>
      <c r="C22" s="16" t="inlineStr">
        <is>
          <t>Adenia Capital V</t>
        </is>
      </c>
      <c r="D22" s="16" t="inlineStr">
        <is>
          <t>Co-investor or catalytic-capital provider appearing in retained vehicles with African PF/SWF participation.</t>
        </is>
      </c>
      <c r="E22" s="16" t="inlineStr">
        <is>
          <t>3 (Selective / TA)</t>
        </is>
      </c>
    </row>
    <row r="23" ht="23.25" customHeight="1" s="26">
      <c r="A23" s="16" t="inlineStr">
        <is>
          <t>EBID</t>
        </is>
      </c>
      <c r="B23" s="16" t="n">
        <v>1</v>
      </c>
      <c r="C23" s="16" t="inlineStr">
        <is>
          <t>Africa Food Security Fund (AFSF)</t>
        </is>
      </c>
      <c r="D23" s="16" t="inlineStr">
        <is>
          <t>Co-investor or catalytic-capital provider appearing in retained vehicles with African PF/SWF participation.</t>
        </is>
      </c>
      <c r="E23" s="16" t="inlineStr">
        <is>
          <t>3 (Selective / TA)</t>
        </is>
      </c>
    </row>
    <row r="24" ht="15" customHeight="1" s="26">
      <c r="A24" s="16" t="inlineStr">
        <is>
          <t>FinDev Canada</t>
        </is>
      </c>
      <c r="B24" s="16" t="n">
        <v>1</v>
      </c>
      <c r="C24" s="16" t="inlineStr">
        <is>
          <t>Adenia Capital V</t>
        </is>
      </c>
      <c r="D24" s="16" t="inlineStr">
        <is>
          <t>Co-investor or catalytic-capital provider appearing in retained vehicles with African PF/SWF participation.</t>
        </is>
      </c>
      <c r="E24" s="16" t="inlineStr">
        <is>
          <t>3 (Selective / TA)</t>
        </is>
      </c>
    </row>
    <row r="25" ht="15" customHeight="1" s="26">
      <c r="A25" s="16" t="inlineStr">
        <is>
          <t>GuarantCo / PIDG</t>
        </is>
      </c>
      <c r="B25" s="16" t="n">
        <v>1</v>
      </c>
      <c r="C25" s="16" t="inlineStr">
        <is>
          <t>InfraCredit</t>
        </is>
      </c>
      <c r="D25" s="16" t="inlineStr">
        <is>
          <t>Co-investor or catalytic-capital provider appearing in retained vehicles with African PF/SWF participation.</t>
        </is>
      </c>
      <c r="E25" s="16" t="inlineStr">
        <is>
          <t>3 (Selective / TA)</t>
        </is>
      </c>
    </row>
    <row r="26" ht="15" customHeight="1" s="26">
      <c r="A26" s="16" t="inlineStr">
        <is>
          <t>InfraCo Africa</t>
        </is>
      </c>
      <c r="B26" s="16" t="n">
        <v>1</v>
      </c>
      <c r="C26" s="16" t="inlineStr">
        <is>
          <t>InfraCredit</t>
        </is>
      </c>
      <c r="D26" s="16" t="inlineStr">
        <is>
          <t>Co-investor or catalytic-capital provider appearing in retained vehicles with African PF/SWF participation.</t>
        </is>
      </c>
      <c r="E26" s="16" t="inlineStr">
        <is>
          <t>3 (Selective / TA)</t>
        </is>
      </c>
    </row>
    <row r="27" ht="15" customHeight="1" s="26">
      <c r="A27" s="16" t="n"/>
      <c r="B27" s="16" t="n"/>
      <c r="C27" s="16" t="n"/>
      <c r="D27" s="16" t="n"/>
      <c r="E27" s="16" t="n"/>
    </row>
    <row r="28">
      <c r="A28" s="16" t="n"/>
      <c r="B28" s="16" t="n"/>
      <c r="C28" s="16" t="n"/>
      <c r="D28" s="16" t="n"/>
      <c r="E28" s="16" t="n"/>
    </row>
    <row r="29">
      <c r="A29" s="16" t="n"/>
      <c r="B29" s="16" t="n"/>
      <c r="C29" s="16" t="n"/>
      <c r="D29" s="16" t="n"/>
      <c r="E29" s="16" t="n"/>
    </row>
    <row r="30" ht="15" customHeight="1" s="26">
      <c r="A30" s="16" t="n"/>
      <c r="B30" s="16" t="n"/>
      <c r="C30" s="16" t="n"/>
      <c r="D30" s="16" t="n"/>
      <c r="E30" s="16" t="n"/>
    </row>
    <row r="31" ht="109.5" customHeight="1" s="26">
      <c r="A31" s="16" t="n"/>
      <c r="B31" s="16" t="n"/>
      <c r="C31" s="16" t="n"/>
      <c r="D31" s="16" t="n"/>
      <c r="E31" s="16" t="n"/>
    </row>
    <row r="32" ht="109.5" customHeight="1" s="26"/>
    <row r="33" ht="109.5" customHeight="1" s="26"/>
    <row r="34" ht="109.5" customHeight="1" s="26"/>
    <row r="35" ht="109.5" customHeight="1" s="26"/>
    <row r="36" ht="109.5" customHeight="1" s="26"/>
    <row r="37" ht="23.25" customHeight="1" s="26"/>
    <row r="38" ht="23.25" customHeight="1" s="26"/>
    <row r="39" ht="23.25" customHeight="1" s="26"/>
    <row r="40" ht="23.25" customHeight="1" s="26"/>
    <row r="41" ht="23.25" customHeight="1" s="26"/>
    <row r="42" ht="102.2" customHeight="1" s="26"/>
    <row r="43" ht="23.85" customHeight="1" s="26"/>
    <row r="44" ht="23.85" customHeight="1" s="26"/>
    <row r="45" ht="23.85" customHeight="1" s="26"/>
    <row r="46" ht="23.85" customHeight="1" s="26"/>
    <row r="47" ht="23.85" customHeight="1" s="26"/>
    <row r="48" ht="129.75" customHeight="1" s="26"/>
    <row r="49">
      <c r="A49" t="inlineStr">
        <is>
          <t>BADEA</t>
        </is>
      </c>
      <c r="B49" t="n">
        <v>1</v>
      </c>
      <c r="C49" t="inlineStr">
        <is>
          <t>African Women Impact Fund (AWIF)</t>
        </is>
      </c>
      <c r="D49" t="inlineStr">
        <is>
          <t>Catalytic commitment alongside African pension capital in gender-lens fund-of-funds platform.</t>
        </is>
      </c>
      <c r="E49" t="inlineStr">
        <is>
          <t>3 (Selective / TA)</t>
        </is>
      </c>
    </row>
  </sheetData>
  <autoFilter ref="A3:E27"/>
  <mergeCells count="3">
    <mergeCell ref="A1:E1"/>
    <mergeCell ref="A48:E48"/>
    <mergeCell ref="A36:E36"/>
  </mergeCells>
  <conditionalFormatting sqref="B4:B27">
    <cfRule type="colorScale" priority="2">
      <colorScale>
        <cfvo type="min"/>
        <cfvo type="percentile" val="50"/>
        <cfvo type="max"/>
        <color rgb="FFFFFFFF"/>
        <color rgb="FFFFEB9C"/>
        <color rgb="FF1F4E78"/>
      </colorScale>
    </cfRule>
  </conditionalFormatting>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58"/>
  <sheetViews>
    <sheetView zoomScaleNormal="100" workbookViewId="0">
      <pane ySplit="3" topLeftCell="A4" activePane="bottomLeft" state="frozen"/>
      <selection pane="bottomLeft" activeCell="A1" sqref="A1:F1"/>
    </sheetView>
  </sheetViews>
  <sheetFormatPr baseColWidth="8" defaultColWidth="8.7109375" defaultRowHeight="15"/>
  <cols>
    <col width="26" customWidth="1" style="26" min="1" max="1"/>
    <col width="18" customWidth="1" style="26" min="2" max="2"/>
    <col width="22" customWidth="1" style="26" min="3" max="4"/>
    <col width="24" customWidth="1" style="26" min="5" max="5"/>
    <col width="20" customWidth="1" style="26" min="6" max="6"/>
  </cols>
  <sheetData>
    <row r="1" ht="15" customHeight="1" s="26">
      <c r="A1" s="27" t="inlineStr">
        <is>
          <t>Country coverage summary — counts and AUM aggregated from preceding sheets</t>
        </is>
      </c>
    </row>
    <row r="3" ht="23.25" customHeight="1" s="26">
      <c r="A3" s="1" t="inlineStr">
        <is>
          <t>Country</t>
        </is>
      </c>
      <c r="B3" s="1" t="inlineStr">
        <is>
          <t># SWFs (&gt;$0 AUM)</t>
        </is>
      </c>
      <c r="C3" s="1" t="inlineStr">
        <is>
          <t># Pension funds listed</t>
        </is>
      </c>
      <c r="D3" s="1" t="inlineStr">
        <is>
          <t>Total SWF AUM (USD m)</t>
        </is>
      </c>
      <c r="E3" s="1" t="inlineStr">
        <is>
          <t>Total Pension AUM (USD m)</t>
        </is>
      </c>
      <c r="F3" s="1" t="inlineStr">
        <is>
          <t>Combined (USD m)</t>
        </is>
      </c>
    </row>
    <row r="4" ht="15" customHeight="1" s="26">
      <c r="A4" s="2" t="inlineStr">
        <is>
          <t>Algeria</t>
        </is>
      </c>
      <c r="B4" s="2">
        <f>COUNTIFS('Sovereign Wealth Funds'!A:A,A4,'Sovereign Wealth Funds'!E:E,"&gt;0")</f>
        <v/>
      </c>
      <c r="C4" s="2">
        <f>COUNTIF('Pension Funds'!A:A,A4)</f>
        <v/>
      </c>
      <c r="D4" s="4">
        <f>SUMIF('Sovereign Wealth Funds'!A:A,A4,'Sovereign Wealth Funds'!E:E)</f>
        <v/>
      </c>
      <c r="E4" s="4">
        <f>SUMIF('Pension Funds'!A:A,A4,'Pension Funds'!E:E)</f>
        <v/>
      </c>
      <c r="F4" s="4">
        <f>D4+E4</f>
        <v/>
      </c>
    </row>
    <row r="5" ht="15" customHeight="1" s="26">
      <c r="A5" s="2" t="inlineStr">
        <is>
          <t>Angola</t>
        </is>
      </c>
      <c r="B5" s="2">
        <f>COUNTIFS('Sovereign Wealth Funds'!A:A,A5,'Sovereign Wealth Funds'!E:E,"&gt;0")</f>
        <v/>
      </c>
      <c r="C5" s="2">
        <f>COUNTIF('Pension Funds'!A:A,A5)</f>
        <v/>
      </c>
      <c r="D5" s="4">
        <f>SUMIF('Sovereign Wealth Funds'!A:A,A5,'Sovereign Wealth Funds'!E:E)</f>
        <v/>
      </c>
      <c r="E5" s="4">
        <f>SUMIF('Pension Funds'!A:A,A5,'Pension Funds'!E:E)</f>
        <v/>
      </c>
      <c r="F5" s="4">
        <f>D5+E5</f>
        <v/>
      </c>
    </row>
    <row r="6" ht="15" customHeight="1" s="26">
      <c r="A6" s="2" t="inlineStr">
        <is>
          <t>Benin</t>
        </is>
      </c>
      <c r="B6" s="2">
        <f>COUNTIFS('Sovereign Wealth Funds'!A:A,A6,'Sovereign Wealth Funds'!E:E,"&gt;0")</f>
        <v/>
      </c>
      <c r="C6" s="2">
        <f>COUNTIF('Pension Funds'!A:A,A6)</f>
        <v/>
      </c>
      <c r="D6" s="4">
        <f>SUMIF('Sovereign Wealth Funds'!A:A,A6,'Sovereign Wealth Funds'!E:E)</f>
        <v/>
      </c>
      <c r="E6" s="4">
        <f>SUMIF('Pension Funds'!A:A,A6,'Pension Funds'!E:E)</f>
        <v/>
      </c>
      <c r="F6" s="4">
        <f>D6+E6</f>
        <v/>
      </c>
    </row>
    <row r="7" ht="15" customHeight="1" s="26">
      <c r="A7" s="2" t="inlineStr">
        <is>
          <t>Botswana</t>
        </is>
      </c>
      <c r="B7" s="2">
        <f>COUNTIFS('Sovereign Wealth Funds'!A:A,A7,'Sovereign Wealth Funds'!E:E,"&gt;0")</f>
        <v/>
      </c>
      <c r="C7" s="2">
        <f>COUNTIF('Pension Funds'!A:A,A7)</f>
        <v/>
      </c>
      <c r="D7" s="4">
        <f>SUMIF('Sovereign Wealth Funds'!A:A,A7,'Sovereign Wealth Funds'!E:E)</f>
        <v/>
      </c>
      <c r="E7" s="4">
        <f>SUMIF('Pension Funds'!A:A,A7,'Pension Funds'!E:E)</f>
        <v/>
      </c>
      <c r="F7" s="4">
        <f>D7+E7</f>
        <v/>
      </c>
    </row>
    <row r="8" ht="15" customHeight="1" s="26">
      <c r="A8" s="2" t="inlineStr">
        <is>
          <t>Burkina Faso</t>
        </is>
      </c>
      <c r="B8" s="2">
        <f>COUNTIFS('Sovereign Wealth Funds'!A:A,A8,'Sovereign Wealth Funds'!E:E,"&gt;0")</f>
        <v/>
      </c>
      <c r="C8" s="2">
        <f>COUNTIF('Pension Funds'!A:A,A8)</f>
        <v/>
      </c>
      <c r="D8" s="4">
        <f>SUMIF('Sovereign Wealth Funds'!A:A,A8,'Sovereign Wealth Funds'!E:E)</f>
        <v/>
      </c>
      <c r="E8" s="4">
        <f>SUMIF('Pension Funds'!A:A,A8,'Pension Funds'!E:E)</f>
        <v/>
      </c>
      <c r="F8" s="4">
        <f>D8+E8</f>
        <v/>
      </c>
    </row>
    <row r="9" ht="15" customHeight="1" s="26">
      <c r="A9" s="2" t="inlineStr">
        <is>
          <t>Burundi</t>
        </is>
      </c>
      <c r="B9" s="2">
        <f>COUNTIFS('Sovereign Wealth Funds'!A:A,A9,'Sovereign Wealth Funds'!E:E,"&gt;0")</f>
        <v/>
      </c>
      <c r="C9" s="2">
        <f>COUNTIF('Pension Funds'!A:A,A9)</f>
        <v/>
      </c>
      <c r="D9" s="4">
        <f>SUMIF('Sovereign Wealth Funds'!A:A,A9,'Sovereign Wealth Funds'!E:E)</f>
        <v/>
      </c>
      <c r="E9" s="4">
        <f>SUMIF('Pension Funds'!A:A,A9,'Pension Funds'!E:E)</f>
        <v/>
      </c>
      <c r="F9" s="4">
        <f>D9+E9</f>
        <v/>
      </c>
    </row>
    <row r="10" ht="15" customHeight="1" s="26">
      <c r="A10" s="2" t="inlineStr">
        <is>
          <t>Cabo Verde</t>
        </is>
      </c>
      <c r="B10" s="2">
        <f>COUNTIFS('Sovereign Wealth Funds'!A:A,A10,'Sovereign Wealth Funds'!E:E,"&gt;0")</f>
        <v/>
      </c>
      <c r="C10" s="2">
        <f>COUNTIF('Pension Funds'!A:A,A10)</f>
        <v/>
      </c>
      <c r="D10" s="4">
        <f>SUMIF('Sovereign Wealth Funds'!A:A,A10,'Sovereign Wealth Funds'!E:E)</f>
        <v/>
      </c>
      <c r="E10" s="4">
        <f>SUMIF('Pension Funds'!A:A,A10,'Pension Funds'!E:E)</f>
        <v/>
      </c>
      <c r="F10" s="4">
        <f>D10+E10</f>
        <v/>
      </c>
    </row>
    <row r="11" ht="15" customHeight="1" s="26">
      <c r="A11" s="2" t="inlineStr">
        <is>
          <t>Cameroon</t>
        </is>
      </c>
      <c r="B11" s="2">
        <f>COUNTIFS('Sovereign Wealth Funds'!A:A,A11,'Sovereign Wealth Funds'!E:E,"&gt;0")</f>
        <v/>
      </c>
      <c r="C11" s="2">
        <f>COUNTIF('Pension Funds'!A:A,A11)</f>
        <v/>
      </c>
      <c r="D11" s="4">
        <f>SUMIF('Sovereign Wealth Funds'!A:A,A11,'Sovereign Wealth Funds'!E:E)</f>
        <v/>
      </c>
      <c r="E11" s="4">
        <f>SUMIF('Pension Funds'!A:A,A11,'Pension Funds'!E:E)</f>
        <v/>
      </c>
      <c r="F11" s="4">
        <f>D11+E11</f>
        <v/>
      </c>
    </row>
    <row r="12" ht="15" customHeight="1" s="26">
      <c r="A12" s="2" t="inlineStr">
        <is>
          <t>Central African Republic</t>
        </is>
      </c>
      <c r="B12" s="2">
        <f>COUNTIFS('Sovereign Wealth Funds'!A:A,A12,'Sovereign Wealth Funds'!E:E,"&gt;0")</f>
        <v/>
      </c>
      <c r="C12" s="2">
        <f>COUNTIF('Pension Funds'!A:A,A12)</f>
        <v/>
      </c>
      <c r="D12" s="4">
        <f>SUMIF('Sovereign Wealth Funds'!A:A,A12,'Sovereign Wealth Funds'!E:E)</f>
        <v/>
      </c>
      <c r="E12" s="4">
        <f>SUMIF('Pension Funds'!A:A,A12,'Pension Funds'!E:E)</f>
        <v/>
      </c>
      <c r="F12" s="4">
        <f>D12+E12</f>
        <v/>
      </c>
    </row>
    <row r="13" ht="15" customHeight="1" s="26">
      <c r="A13" s="2" t="inlineStr">
        <is>
          <t>Chad</t>
        </is>
      </c>
      <c r="B13" s="2">
        <f>COUNTIFS('Sovereign Wealth Funds'!A:A,A13,'Sovereign Wealth Funds'!E:E,"&gt;0")</f>
        <v/>
      </c>
      <c r="C13" s="2">
        <f>COUNTIF('Pension Funds'!A:A,A13)</f>
        <v/>
      </c>
      <c r="D13" s="4">
        <f>SUMIF('Sovereign Wealth Funds'!A:A,A13,'Sovereign Wealth Funds'!E:E)</f>
        <v/>
      </c>
      <c r="E13" s="4">
        <f>SUMIF('Pension Funds'!A:A,A13,'Pension Funds'!E:E)</f>
        <v/>
      </c>
      <c r="F13" s="4">
        <f>D13+E13</f>
        <v/>
      </c>
    </row>
    <row r="14" ht="15" customHeight="1" s="26">
      <c r="A14" s="2" t="inlineStr">
        <is>
          <t>Comoros</t>
        </is>
      </c>
      <c r="B14" s="2">
        <f>COUNTIFS('Sovereign Wealth Funds'!A:A,A14,'Sovereign Wealth Funds'!E:E,"&gt;0")</f>
        <v/>
      </c>
      <c r="C14" s="2">
        <f>COUNTIF('Pension Funds'!A:A,A14)</f>
        <v/>
      </c>
      <c r="D14" s="4">
        <f>SUMIF('Sovereign Wealth Funds'!A:A,A14,'Sovereign Wealth Funds'!E:E)</f>
        <v/>
      </c>
      <c r="E14" s="4">
        <f>SUMIF('Pension Funds'!A:A,A14,'Pension Funds'!E:E)</f>
        <v/>
      </c>
      <c r="F14" s="4">
        <f>D14+E14</f>
        <v/>
      </c>
    </row>
    <row r="15" ht="15" customHeight="1" s="26">
      <c r="A15" s="2" t="inlineStr">
        <is>
          <t>Congo (Brazzaville)</t>
        </is>
      </c>
      <c r="B15" s="2">
        <f>COUNTIFS('Sovereign Wealth Funds'!A:A,A15,'Sovereign Wealth Funds'!E:E,"&gt;0")</f>
        <v/>
      </c>
      <c r="C15" s="2">
        <f>COUNTIF('Pension Funds'!A:A,A15)</f>
        <v/>
      </c>
      <c r="D15" s="4">
        <f>SUMIF('Sovereign Wealth Funds'!A:A,A15,'Sovereign Wealth Funds'!E:E)</f>
        <v/>
      </c>
      <c r="E15" s="4">
        <f>SUMIF('Pension Funds'!A:A,A15,'Pension Funds'!E:E)</f>
        <v/>
      </c>
      <c r="F15" s="4">
        <f>D15+E15</f>
        <v/>
      </c>
    </row>
    <row r="16" ht="15" customHeight="1" s="26">
      <c r="A16" s="2" t="inlineStr">
        <is>
          <t>Côte d'Ivoire</t>
        </is>
      </c>
      <c r="B16" s="2">
        <f>COUNTIFS('Sovereign Wealth Funds'!A:A,A16,'Sovereign Wealth Funds'!E:E,"&gt;0")</f>
        <v/>
      </c>
      <c r="C16" s="2">
        <f>COUNTIF('Pension Funds'!A:A,A16)</f>
        <v/>
      </c>
      <c r="D16" s="4">
        <f>SUMIF('Sovereign Wealth Funds'!A:A,A16,'Sovereign Wealth Funds'!E:E)</f>
        <v/>
      </c>
      <c r="E16" s="4">
        <f>SUMIF('Pension Funds'!A:A,A16,'Pension Funds'!E:E)</f>
        <v/>
      </c>
      <c r="F16" s="4">
        <f>D16+E16</f>
        <v/>
      </c>
    </row>
    <row r="17" ht="15" customHeight="1" s="26">
      <c r="A17" s="2" t="inlineStr">
        <is>
          <t>DR Congo</t>
        </is>
      </c>
      <c r="B17" s="2">
        <f>COUNTIFS('Sovereign Wealth Funds'!A:A,A17,'Sovereign Wealth Funds'!E:E,"&gt;0")</f>
        <v/>
      </c>
      <c r="C17" s="2">
        <f>COUNTIF('Pension Funds'!A:A,A17)</f>
        <v/>
      </c>
      <c r="D17" s="4">
        <f>SUMIF('Sovereign Wealth Funds'!A:A,A17,'Sovereign Wealth Funds'!E:E)</f>
        <v/>
      </c>
      <c r="E17" s="4">
        <f>SUMIF('Pension Funds'!A:A,A17,'Pension Funds'!E:E)</f>
        <v/>
      </c>
      <c r="F17" s="4">
        <f>D17+E17</f>
        <v/>
      </c>
    </row>
    <row r="18" ht="15" customHeight="1" s="26">
      <c r="A18" s="2" t="inlineStr">
        <is>
          <t>Djibouti</t>
        </is>
      </c>
      <c r="B18" s="2">
        <f>COUNTIFS('Sovereign Wealth Funds'!A:A,A18,'Sovereign Wealth Funds'!E:E,"&gt;0")</f>
        <v/>
      </c>
      <c r="C18" s="2">
        <f>COUNTIF('Pension Funds'!A:A,A18)</f>
        <v/>
      </c>
      <c r="D18" s="4">
        <f>SUMIF('Sovereign Wealth Funds'!A:A,A18,'Sovereign Wealth Funds'!E:E)</f>
        <v/>
      </c>
      <c r="E18" s="4">
        <f>SUMIF('Pension Funds'!A:A,A18,'Pension Funds'!E:E)</f>
        <v/>
      </c>
      <c r="F18" s="4">
        <f>D18+E18</f>
        <v/>
      </c>
    </row>
    <row r="19" ht="15" customHeight="1" s="26">
      <c r="A19" s="2" t="inlineStr">
        <is>
          <t>Egypt</t>
        </is>
      </c>
      <c r="B19" s="2">
        <f>COUNTIFS('Sovereign Wealth Funds'!A:A,A19,'Sovereign Wealth Funds'!E:E,"&gt;0")</f>
        <v/>
      </c>
      <c r="C19" s="2">
        <f>COUNTIF('Pension Funds'!A:A,A19)</f>
        <v/>
      </c>
      <c r="D19" s="4">
        <f>SUMIF('Sovereign Wealth Funds'!A:A,A19,'Sovereign Wealth Funds'!E:E)</f>
        <v/>
      </c>
      <c r="E19" s="4">
        <f>SUMIF('Pension Funds'!A:A,A19,'Pension Funds'!E:E)</f>
        <v/>
      </c>
      <c r="F19" s="4">
        <f>D19+E19</f>
        <v/>
      </c>
    </row>
    <row r="20" ht="15" customHeight="1" s="26">
      <c r="A20" s="2" t="inlineStr">
        <is>
          <t>Equatorial Guinea</t>
        </is>
      </c>
      <c r="B20" s="2">
        <f>COUNTIFS('Sovereign Wealth Funds'!A:A,A20,'Sovereign Wealth Funds'!E:E,"&gt;0")</f>
        <v/>
      </c>
      <c r="C20" s="2">
        <f>COUNTIF('Pension Funds'!A:A,A20)</f>
        <v/>
      </c>
      <c r="D20" s="4">
        <f>SUMIF('Sovereign Wealth Funds'!A:A,A20,'Sovereign Wealth Funds'!E:E)</f>
        <v/>
      </c>
      <c r="E20" s="4">
        <f>SUMIF('Pension Funds'!A:A,A20,'Pension Funds'!E:E)</f>
        <v/>
      </c>
      <c r="F20" s="4">
        <f>D20+E20</f>
        <v/>
      </c>
    </row>
    <row r="21" ht="15" customHeight="1" s="26">
      <c r="A21" s="2" t="inlineStr">
        <is>
          <t>Eritrea</t>
        </is>
      </c>
      <c r="B21" s="2">
        <f>COUNTIFS('Sovereign Wealth Funds'!A:A,A21,'Sovereign Wealth Funds'!E:E,"&gt;0")</f>
        <v/>
      </c>
      <c r="C21" s="2">
        <f>COUNTIF('Pension Funds'!A:A,A21)</f>
        <v/>
      </c>
      <c r="D21" s="4">
        <f>SUMIF('Sovereign Wealth Funds'!A:A,A21,'Sovereign Wealth Funds'!E:E)</f>
        <v/>
      </c>
      <c r="E21" s="4">
        <f>SUMIF('Pension Funds'!A:A,A21,'Pension Funds'!E:E)</f>
        <v/>
      </c>
      <c r="F21" s="4">
        <f>D21+E21</f>
        <v/>
      </c>
    </row>
    <row r="22" ht="15" customHeight="1" s="26">
      <c r="A22" s="2" t="inlineStr">
        <is>
          <t>Eswatini</t>
        </is>
      </c>
      <c r="B22" s="2">
        <f>COUNTIFS('Sovereign Wealth Funds'!A:A,A22,'Sovereign Wealth Funds'!E:E,"&gt;0")</f>
        <v/>
      </c>
      <c r="C22" s="2">
        <f>COUNTIF('Pension Funds'!A:A,A22)</f>
        <v/>
      </c>
      <c r="D22" s="4">
        <f>SUMIF('Sovereign Wealth Funds'!A:A,A22,'Sovereign Wealth Funds'!E:E)</f>
        <v/>
      </c>
      <c r="E22" s="4">
        <f>SUMIF('Pension Funds'!A:A,A22,'Pension Funds'!E:E)</f>
        <v/>
      </c>
      <c r="F22" s="4">
        <f>D22+E22</f>
        <v/>
      </c>
    </row>
    <row r="23" ht="15" customHeight="1" s="26">
      <c r="A23" s="2" t="inlineStr">
        <is>
          <t>Ethiopia</t>
        </is>
      </c>
      <c r="B23" s="2">
        <f>COUNTIFS('Sovereign Wealth Funds'!A:A,A23,'Sovereign Wealth Funds'!E:E,"&gt;0")</f>
        <v/>
      </c>
      <c r="C23" s="2">
        <f>COUNTIF('Pension Funds'!A:A,A23)</f>
        <v/>
      </c>
      <c r="D23" s="4">
        <f>SUMIF('Sovereign Wealth Funds'!A:A,A23,'Sovereign Wealth Funds'!E:E)</f>
        <v/>
      </c>
      <c r="E23" s="4">
        <f>SUMIF('Pension Funds'!A:A,A23,'Pension Funds'!E:E)</f>
        <v/>
      </c>
      <c r="F23" s="4">
        <f>D23+E23</f>
        <v/>
      </c>
    </row>
    <row r="24" ht="15" customHeight="1" s="26">
      <c r="A24" s="2" t="inlineStr">
        <is>
          <t>Gabon</t>
        </is>
      </c>
      <c r="B24" s="2">
        <f>COUNTIFS('Sovereign Wealth Funds'!A:A,A24,'Sovereign Wealth Funds'!E:E,"&gt;0")</f>
        <v/>
      </c>
      <c r="C24" s="2">
        <f>COUNTIF('Pension Funds'!A:A,A24)</f>
        <v/>
      </c>
      <c r="D24" s="4">
        <f>SUMIF('Sovereign Wealth Funds'!A:A,A24,'Sovereign Wealth Funds'!E:E)</f>
        <v/>
      </c>
      <c r="E24" s="4">
        <f>SUMIF('Pension Funds'!A:A,A24,'Pension Funds'!E:E)</f>
        <v/>
      </c>
      <c r="F24" s="4">
        <f>D24+E24</f>
        <v/>
      </c>
    </row>
    <row r="25" ht="15" customHeight="1" s="26">
      <c r="A25" s="2" t="inlineStr">
        <is>
          <t>The Gambia</t>
        </is>
      </c>
      <c r="B25" s="2">
        <f>COUNTIFS('Sovereign Wealth Funds'!A:A,A25,'Sovereign Wealth Funds'!E:E,"&gt;0")</f>
        <v/>
      </c>
      <c r="C25" s="2">
        <f>COUNTIF('Pension Funds'!A:A,A25)</f>
        <v/>
      </c>
      <c r="D25" s="4">
        <f>SUMIF('Sovereign Wealth Funds'!A:A,A25,'Sovereign Wealth Funds'!E:E)</f>
        <v/>
      </c>
      <c r="E25" s="4">
        <f>SUMIF('Pension Funds'!A:A,A25,'Pension Funds'!E:E)</f>
        <v/>
      </c>
      <c r="F25" s="4">
        <f>D25+E25</f>
        <v/>
      </c>
    </row>
    <row r="26" ht="15" customHeight="1" s="26">
      <c r="A26" s="2" t="inlineStr">
        <is>
          <t>Ghana</t>
        </is>
      </c>
      <c r="B26" s="2">
        <f>COUNTIFS('Sovereign Wealth Funds'!A:A,A26,'Sovereign Wealth Funds'!E:E,"&gt;0")</f>
        <v/>
      </c>
      <c r="C26" s="2">
        <f>COUNTIF('Pension Funds'!A:A,A26)</f>
        <v/>
      </c>
      <c r="D26" s="4">
        <f>SUMIF('Sovereign Wealth Funds'!A:A,A26,'Sovereign Wealth Funds'!E:E)</f>
        <v/>
      </c>
      <c r="E26" s="4">
        <f>SUMIF('Pension Funds'!A:A,A26,'Pension Funds'!E:E)</f>
        <v/>
      </c>
      <c r="F26" s="4">
        <f>D26+E26</f>
        <v/>
      </c>
    </row>
    <row r="27" ht="15" customHeight="1" s="26">
      <c r="A27" s="2" t="inlineStr">
        <is>
          <t>Guinea</t>
        </is>
      </c>
      <c r="B27" s="2">
        <f>COUNTIFS('Sovereign Wealth Funds'!A:A,A27,'Sovereign Wealth Funds'!E:E,"&gt;0")</f>
        <v/>
      </c>
      <c r="C27" s="2">
        <f>COUNTIF('Pension Funds'!A:A,A27)</f>
        <v/>
      </c>
      <c r="D27" s="4">
        <f>SUMIF('Sovereign Wealth Funds'!A:A,A27,'Sovereign Wealth Funds'!E:E)</f>
        <v/>
      </c>
      <c r="E27" s="4">
        <f>SUMIF('Pension Funds'!A:A,A27,'Pension Funds'!E:E)</f>
        <v/>
      </c>
      <c r="F27" s="4">
        <f>D27+E27</f>
        <v/>
      </c>
    </row>
    <row r="28" ht="15" customHeight="1" s="26">
      <c r="A28" s="2" t="inlineStr">
        <is>
          <t>Guinea-Bissau</t>
        </is>
      </c>
      <c r="B28" s="2">
        <f>COUNTIFS('Sovereign Wealth Funds'!A:A,A28,'Sovereign Wealth Funds'!E:E,"&gt;0")</f>
        <v/>
      </c>
      <c r="C28" s="2">
        <f>COUNTIF('Pension Funds'!A:A,A28)</f>
        <v/>
      </c>
      <c r="D28" s="4">
        <f>SUMIF('Sovereign Wealth Funds'!A:A,A28,'Sovereign Wealth Funds'!E:E)</f>
        <v/>
      </c>
      <c r="E28" s="4">
        <f>SUMIF('Pension Funds'!A:A,A28,'Pension Funds'!E:E)</f>
        <v/>
      </c>
      <c r="F28" s="4">
        <f>D28+E28</f>
        <v/>
      </c>
    </row>
    <row r="29" ht="15" customHeight="1" s="26">
      <c r="A29" s="2" t="inlineStr">
        <is>
          <t>Kenya</t>
        </is>
      </c>
      <c r="B29" s="2">
        <f>COUNTIFS('Sovereign Wealth Funds'!A:A,A29,'Sovereign Wealth Funds'!E:E,"&gt;0")</f>
        <v/>
      </c>
      <c r="C29" s="2">
        <f>COUNTIF('Pension Funds'!A:A,A29)</f>
        <v/>
      </c>
      <c r="D29" s="4">
        <f>SUMIF('Sovereign Wealth Funds'!A:A,A29,'Sovereign Wealth Funds'!E:E)</f>
        <v/>
      </c>
      <c r="E29" s="4">
        <f>SUMIF('Pension Funds'!A:A,A29,'Pension Funds'!E:E)</f>
        <v/>
      </c>
      <c r="F29" s="4">
        <f>D29+E29</f>
        <v/>
      </c>
    </row>
    <row r="30" ht="15" customHeight="1" s="26">
      <c r="A30" s="2" t="inlineStr">
        <is>
          <t>Lesotho</t>
        </is>
      </c>
      <c r="B30" s="2">
        <f>COUNTIFS('Sovereign Wealth Funds'!A:A,A30,'Sovereign Wealth Funds'!E:E,"&gt;0")</f>
        <v/>
      </c>
      <c r="C30" s="2">
        <f>COUNTIF('Pension Funds'!A:A,A30)</f>
        <v/>
      </c>
      <c r="D30" s="4">
        <f>SUMIF('Sovereign Wealth Funds'!A:A,A30,'Sovereign Wealth Funds'!E:E)</f>
        <v/>
      </c>
      <c r="E30" s="4">
        <f>SUMIF('Pension Funds'!A:A,A30,'Pension Funds'!E:E)</f>
        <v/>
      </c>
      <c r="F30" s="4">
        <f>D30+E30</f>
        <v/>
      </c>
    </row>
    <row r="31" ht="15" customHeight="1" s="26">
      <c r="A31" s="2" t="inlineStr">
        <is>
          <t>Liberia</t>
        </is>
      </c>
      <c r="B31" s="2">
        <f>COUNTIFS('Sovereign Wealth Funds'!A:A,A31,'Sovereign Wealth Funds'!E:E,"&gt;0")</f>
        <v/>
      </c>
      <c r="C31" s="2">
        <f>COUNTIF('Pension Funds'!A:A,A31)</f>
        <v/>
      </c>
      <c r="D31" s="4">
        <f>SUMIF('Sovereign Wealth Funds'!A:A,A31,'Sovereign Wealth Funds'!E:E)</f>
        <v/>
      </c>
      <c r="E31" s="4">
        <f>SUMIF('Pension Funds'!A:A,A31,'Pension Funds'!E:E)</f>
        <v/>
      </c>
      <c r="F31" s="4">
        <f>D31+E31</f>
        <v/>
      </c>
    </row>
    <row r="32" ht="15" customHeight="1" s="26">
      <c r="A32" s="2" t="inlineStr">
        <is>
          <t>Libya</t>
        </is>
      </c>
      <c r="B32" s="2">
        <f>COUNTIFS('Sovereign Wealth Funds'!A:A,A32,'Sovereign Wealth Funds'!E:E,"&gt;0")</f>
        <v/>
      </c>
      <c r="C32" s="2">
        <f>COUNTIF('Pension Funds'!A:A,A32)</f>
        <v/>
      </c>
      <c r="D32" s="4">
        <f>SUMIF('Sovereign Wealth Funds'!A:A,A32,'Sovereign Wealth Funds'!E:E)</f>
        <v/>
      </c>
      <c r="E32" s="4">
        <f>SUMIF('Pension Funds'!A:A,A32,'Pension Funds'!E:E)</f>
        <v/>
      </c>
      <c r="F32" s="4">
        <f>D32+E32</f>
        <v/>
      </c>
    </row>
    <row r="33" ht="15" customHeight="1" s="26">
      <c r="A33" s="2" t="inlineStr">
        <is>
          <t>Madagascar</t>
        </is>
      </c>
      <c r="B33" s="2">
        <f>COUNTIFS('Sovereign Wealth Funds'!A:A,A33,'Sovereign Wealth Funds'!E:E,"&gt;0")</f>
        <v/>
      </c>
      <c r="C33" s="2">
        <f>COUNTIF('Pension Funds'!A:A,A33)</f>
        <v/>
      </c>
      <c r="D33" s="4">
        <f>SUMIF('Sovereign Wealth Funds'!A:A,A33,'Sovereign Wealth Funds'!E:E)</f>
        <v/>
      </c>
      <c r="E33" s="4">
        <f>SUMIF('Pension Funds'!A:A,A33,'Pension Funds'!E:E)</f>
        <v/>
      </c>
      <c r="F33" s="4">
        <f>D33+E33</f>
        <v/>
      </c>
    </row>
    <row r="34" ht="15" customHeight="1" s="26">
      <c r="A34" s="2" t="inlineStr">
        <is>
          <t>Malawi</t>
        </is>
      </c>
      <c r="B34" s="2">
        <f>COUNTIFS('Sovereign Wealth Funds'!A:A,A34,'Sovereign Wealth Funds'!E:E,"&gt;0")</f>
        <v/>
      </c>
      <c r="C34" s="2">
        <f>COUNTIF('Pension Funds'!A:A,A34)</f>
        <v/>
      </c>
      <c r="D34" s="4">
        <f>SUMIF('Sovereign Wealth Funds'!A:A,A34,'Sovereign Wealth Funds'!E:E)</f>
        <v/>
      </c>
      <c r="E34" s="4">
        <f>SUMIF('Pension Funds'!A:A,A34,'Pension Funds'!E:E)</f>
        <v/>
      </c>
      <c r="F34" s="4">
        <f>D34+E34</f>
        <v/>
      </c>
    </row>
    <row r="35" ht="15" customHeight="1" s="26">
      <c r="A35" s="2" t="inlineStr">
        <is>
          <t>Mali</t>
        </is>
      </c>
      <c r="B35" s="2">
        <f>COUNTIFS('Sovereign Wealth Funds'!A:A,A35,'Sovereign Wealth Funds'!E:E,"&gt;0")</f>
        <v/>
      </c>
      <c r="C35" s="2">
        <f>COUNTIF('Pension Funds'!A:A,A35)</f>
        <v/>
      </c>
      <c r="D35" s="4">
        <f>SUMIF('Sovereign Wealth Funds'!A:A,A35,'Sovereign Wealth Funds'!E:E)</f>
        <v/>
      </c>
      <c r="E35" s="4">
        <f>SUMIF('Pension Funds'!A:A,A35,'Pension Funds'!E:E)</f>
        <v/>
      </c>
      <c r="F35" s="4">
        <f>D35+E35</f>
        <v/>
      </c>
    </row>
    <row r="36" ht="15" customHeight="1" s="26">
      <c r="A36" s="2" t="inlineStr">
        <is>
          <t>Mauritania</t>
        </is>
      </c>
      <c r="B36" s="2">
        <f>COUNTIFS('Sovereign Wealth Funds'!A:A,A36,'Sovereign Wealth Funds'!E:E,"&gt;0")</f>
        <v/>
      </c>
      <c r="C36" s="2">
        <f>COUNTIF('Pension Funds'!A:A,A36)</f>
        <v/>
      </c>
      <c r="D36" s="4">
        <f>SUMIF('Sovereign Wealth Funds'!A:A,A36,'Sovereign Wealth Funds'!E:E)</f>
        <v/>
      </c>
      <c r="E36" s="4">
        <f>SUMIF('Pension Funds'!A:A,A36,'Pension Funds'!E:E)</f>
        <v/>
      </c>
      <c r="F36" s="4">
        <f>D36+E36</f>
        <v/>
      </c>
    </row>
    <row r="37" ht="15" customHeight="1" s="26">
      <c r="A37" s="2" t="inlineStr">
        <is>
          <t>Mauritius</t>
        </is>
      </c>
      <c r="B37" s="2">
        <f>COUNTIFS('Sovereign Wealth Funds'!A:A,A37,'Sovereign Wealth Funds'!E:E,"&gt;0")</f>
        <v/>
      </c>
      <c r="C37" s="2">
        <f>COUNTIF('Pension Funds'!A:A,A37)</f>
        <v/>
      </c>
      <c r="D37" s="4">
        <f>SUMIF('Sovereign Wealth Funds'!A:A,A37,'Sovereign Wealth Funds'!E:E)</f>
        <v/>
      </c>
      <c r="E37" s="4">
        <f>SUMIF('Pension Funds'!A:A,A37,'Pension Funds'!E:E)</f>
        <v/>
      </c>
      <c r="F37" s="4">
        <f>D37+E37</f>
        <v/>
      </c>
    </row>
    <row r="38" ht="15" customHeight="1" s="26">
      <c r="A38" s="2" t="inlineStr">
        <is>
          <t>Morocco</t>
        </is>
      </c>
      <c r="B38" s="2">
        <f>COUNTIFS('Sovereign Wealth Funds'!A:A,A38,'Sovereign Wealth Funds'!E:E,"&gt;0")</f>
        <v/>
      </c>
      <c r="C38" s="2">
        <f>COUNTIF('Pension Funds'!A:A,A38)</f>
        <v/>
      </c>
      <c r="D38" s="4">
        <f>SUMIF('Sovereign Wealth Funds'!A:A,A38,'Sovereign Wealth Funds'!E:E)</f>
        <v/>
      </c>
      <c r="E38" s="4">
        <f>SUMIF('Pension Funds'!A:A,A38,'Pension Funds'!E:E)</f>
        <v/>
      </c>
      <c r="F38" s="4">
        <f>D38+E38</f>
        <v/>
      </c>
    </row>
    <row r="39" ht="15" customHeight="1" s="26">
      <c r="A39" s="2" t="inlineStr">
        <is>
          <t>Mozambique</t>
        </is>
      </c>
      <c r="B39" s="2">
        <f>COUNTIFS('Sovereign Wealth Funds'!A:A,A39,'Sovereign Wealth Funds'!E:E,"&gt;0")</f>
        <v/>
      </c>
      <c r="C39" s="2">
        <f>COUNTIF('Pension Funds'!A:A,A39)</f>
        <v/>
      </c>
      <c r="D39" s="4">
        <f>SUMIF('Sovereign Wealth Funds'!A:A,A39,'Sovereign Wealth Funds'!E:E)</f>
        <v/>
      </c>
      <c r="E39" s="4">
        <f>SUMIF('Pension Funds'!A:A,A39,'Pension Funds'!E:E)</f>
        <v/>
      </c>
      <c r="F39" s="4">
        <f>D39+E39</f>
        <v/>
      </c>
    </row>
    <row r="40" ht="15" customHeight="1" s="26">
      <c r="A40" s="2" t="inlineStr">
        <is>
          <t>Namibia</t>
        </is>
      </c>
      <c r="B40" s="2">
        <f>COUNTIFS('Sovereign Wealth Funds'!A:A,A40,'Sovereign Wealth Funds'!E:E,"&gt;0")</f>
        <v/>
      </c>
      <c r="C40" s="2">
        <f>COUNTIF('Pension Funds'!A:A,A40)</f>
        <v/>
      </c>
      <c r="D40" s="4">
        <f>SUMIF('Sovereign Wealth Funds'!A:A,A40,'Sovereign Wealth Funds'!E:E)</f>
        <v/>
      </c>
      <c r="E40" s="4">
        <f>SUMIF('Pension Funds'!A:A,A40,'Pension Funds'!E:E)</f>
        <v/>
      </c>
      <c r="F40" s="4">
        <f>D40+E40</f>
        <v/>
      </c>
    </row>
    <row r="41" ht="15" customHeight="1" s="26">
      <c r="A41" s="2" t="inlineStr">
        <is>
          <t>Niger</t>
        </is>
      </c>
      <c r="B41" s="2">
        <f>COUNTIFS('Sovereign Wealth Funds'!A:A,A41,'Sovereign Wealth Funds'!E:E,"&gt;0")</f>
        <v/>
      </c>
      <c r="C41" s="2">
        <f>COUNTIF('Pension Funds'!A:A,A41)</f>
        <v/>
      </c>
      <c r="D41" s="4">
        <f>SUMIF('Sovereign Wealth Funds'!A:A,A41,'Sovereign Wealth Funds'!E:E)</f>
        <v/>
      </c>
      <c r="E41" s="4">
        <f>SUMIF('Pension Funds'!A:A,A41,'Pension Funds'!E:E)</f>
        <v/>
      </c>
      <c r="F41" s="4">
        <f>D41+E41</f>
        <v/>
      </c>
    </row>
    <row r="42" ht="15" customHeight="1" s="26">
      <c r="A42" s="2" t="inlineStr">
        <is>
          <t>Nigeria</t>
        </is>
      </c>
      <c r="B42" s="2">
        <f>COUNTIFS('Sovereign Wealth Funds'!A:A,A42,'Sovereign Wealth Funds'!E:E,"&gt;0")</f>
        <v/>
      </c>
      <c r="C42" s="2">
        <f>COUNTIF('Pension Funds'!A:A,A42)</f>
        <v/>
      </c>
      <c r="D42" s="4">
        <f>SUMIF('Sovereign Wealth Funds'!A:A,A42,'Sovereign Wealth Funds'!E:E)</f>
        <v/>
      </c>
      <c r="E42" s="4">
        <f>SUMIF('Pension Funds'!A:A,A42,'Pension Funds'!E:E)</f>
        <v/>
      </c>
      <c r="F42" s="4">
        <f>D42+E42</f>
        <v/>
      </c>
    </row>
    <row r="43" ht="15" customHeight="1" s="26">
      <c r="A43" s="2" t="inlineStr">
        <is>
          <t>Rwanda</t>
        </is>
      </c>
      <c r="B43" s="2">
        <f>COUNTIFS('Sovereign Wealth Funds'!A:A,A43,'Sovereign Wealth Funds'!E:E,"&gt;0")</f>
        <v/>
      </c>
      <c r="C43" s="2">
        <f>COUNTIF('Pension Funds'!A:A,A43)</f>
        <v/>
      </c>
      <c r="D43" s="4">
        <f>SUMIF('Sovereign Wealth Funds'!A:A,A43,'Sovereign Wealth Funds'!E:E)</f>
        <v/>
      </c>
      <c r="E43" s="4">
        <f>SUMIF('Pension Funds'!A:A,A43,'Pension Funds'!E:E)</f>
        <v/>
      </c>
      <c r="F43" s="4">
        <f>D43+E43</f>
        <v/>
      </c>
    </row>
    <row r="44" ht="15" customHeight="1" s="26">
      <c r="A44" s="2" t="inlineStr">
        <is>
          <t>São Tomé and Príncipe</t>
        </is>
      </c>
      <c r="B44" s="2">
        <f>COUNTIFS('Sovereign Wealth Funds'!A:A,A44,'Sovereign Wealth Funds'!E:E,"&gt;0")</f>
        <v/>
      </c>
      <c r="C44" s="2">
        <f>COUNTIF('Pension Funds'!A:A,A44)</f>
        <v/>
      </c>
      <c r="D44" s="4">
        <f>SUMIF('Sovereign Wealth Funds'!A:A,A44,'Sovereign Wealth Funds'!E:E)</f>
        <v/>
      </c>
      <c r="E44" s="4">
        <f>SUMIF('Pension Funds'!A:A,A44,'Pension Funds'!E:E)</f>
        <v/>
      </c>
      <c r="F44" s="4">
        <f>D44+E44</f>
        <v/>
      </c>
    </row>
    <row r="45" ht="15" customHeight="1" s="26">
      <c r="A45" s="2" t="inlineStr">
        <is>
          <t>Senegal</t>
        </is>
      </c>
      <c r="B45" s="2">
        <f>COUNTIFS('Sovereign Wealth Funds'!A:A,A45,'Sovereign Wealth Funds'!E:E,"&gt;0")</f>
        <v/>
      </c>
      <c r="C45" s="2">
        <f>COUNTIF('Pension Funds'!A:A,A45)</f>
        <v/>
      </c>
      <c r="D45" s="4">
        <f>SUMIF('Sovereign Wealth Funds'!A:A,A45,'Sovereign Wealth Funds'!E:E)</f>
        <v/>
      </c>
      <c r="E45" s="4">
        <f>SUMIF('Pension Funds'!A:A,A45,'Pension Funds'!E:E)</f>
        <v/>
      </c>
      <c r="F45" s="4">
        <f>D45+E45</f>
        <v/>
      </c>
    </row>
    <row r="46" ht="15" customHeight="1" s="26">
      <c r="A46" s="2" t="inlineStr">
        <is>
          <t>Seychelles</t>
        </is>
      </c>
      <c r="B46" s="2">
        <f>COUNTIFS('Sovereign Wealth Funds'!A:A,A46,'Sovereign Wealth Funds'!E:E,"&gt;0")</f>
        <v/>
      </c>
      <c r="C46" s="2">
        <f>COUNTIF('Pension Funds'!A:A,A46)</f>
        <v/>
      </c>
      <c r="D46" s="4">
        <f>SUMIF('Sovereign Wealth Funds'!A:A,A46,'Sovereign Wealth Funds'!E:E)</f>
        <v/>
      </c>
      <c r="E46" s="4">
        <f>SUMIF('Pension Funds'!A:A,A46,'Pension Funds'!E:E)</f>
        <v/>
      </c>
      <c r="F46" s="4">
        <f>D46+E46</f>
        <v/>
      </c>
    </row>
    <row r="47" ht="15" customHeight="1" s="26">
      <c r="A47" s="2" t="inlineStr">
        <is>
          <t>Sierra Leone</t>
        </is>
      </c>
      <c r="B47" s="2">
        <f>COUNTIFS('Sovereign Wealth Funds'!A:A,A47,'Sovereign Wealth Funds'!E:E,"&gt;0")</f>
        <v/>
      </c>
      <c r="C47" s="2">
        <f>COUNTIF('Pension Funds'!A:A,A47)</f>
        <v/>
      </c>
      <c r="D47" s="4">
        <f>SUMIF('Sovereign Wealth Funds'!A:A,A47,'Sovereign Wealth Funds'!E:E)</f>
        <v/>
      </c>
      <c r="E47" s="4">
        <f>SUMIF('Pension Funds'!A:A,A47,'Pension Funds'!E:E)</f>
        <v/>
      </c>
      <c r="F47" s="4">
        <f>D47+E47</f>
        <v/>
      </c>
    </row>
    <row r="48" ht="15" customHeight="1" s="26">
      <c r="A48" s="2" t="inlineStr">
        <is>
          <t>Somalia</t>
        </is>
      </c>
      <c r="B48" s="2">
        <f>COUNTIFS('Sovereign Wealth Funds'!A:A,A48,'Sovereign Wealth Funds'!E:E,"&gt;0")</f>
        <v/>
      </c>
      <c r="C48" s="2">
        <f>COUNTIF('Pension Funds'!A:A,A48)</f>
        <v/>
      </c>
      <c r="D48" s="4">
        <f>SUMIF('Sovereign Wealth Funds'!A:A,A48,'Sovereign Wealth Funds'!E:E)</f>
        <v/>
      </c>
      <c r="E48" s="4">
        <f>SUMIF('Pension Funds'!A:A,A48,'Pension Funds'!E:E)</f>
        <v/>
      </c>
      <c r="F48" s="4">
        <f>D48+E48</f>
        <v/>
      </c>
    </row>
    <row r="49" ht="15" customHeight="1" s="26">
      <c r="A49" s="2" t="inlineStr">
        <is>
          <t>South Africa</t>
        </is>
      </c>
      <c r="B49" s="2">
        <f>COUNTIFS('Sovereign Wealth Funds'!A:A,A49,'Sovereign Wealth Funds'!E:E,"&gt;0")</f>
        <v/>
      </c>
      <c r="C49" s="2">
        <f>COUNTIF('Pension Funds'!A:A,A49)</f>
        <v/>
      </c>
      <c r="D49" s="4">
        <f>SUMIF('Sovereign Wealth Funds'!A:A,A49,'Sovereign Wealth Funds'!E:E)</f>
        <v/>
      </c>
      <c r="E49" s="4">
        <f>SUMIF('Pension Funds'!A:A,A49,'Pension Funds'!E:E)</f>
        <v/>
      </c>
      <c r="F49" s="4">
        <f>D49+E49</f>
        <v/>
      </c>
    </row>
    <row r="50" ht="15" customHeight="1" s="26">
      <c r="A50" s="2" t="inlineStr">
        <is>
          <t>South Sudan</t>
        </is>
      </c>
      <c r="B50" s="2">
        <f>COUNTIFS('Sovereign Wealth Funds'!A:A,A50,'Sovereign Wealth Funds'!E:E,"&gt;0")</f>
        <v/>
      </c>
      <c r="C50" s="2">
        <f>COUNTIF('Pension Funds'!A:A,A50)</f>
        <v/>
      </c>
      <c r="D50" s="4">
        <f>SUMIF('Sovereign Wealth Funds'!A:A,A50,'Sovereign Wealth Funds'!E:E)</f>
        <v/>
      </c>
      <c r="E50" s="4">
        <f>SUMIF('Pension Funds'!A:A,A50,'Pension Funds'!E:E)</f>
        <v/>
      </c>
      <c r="F50" s="4">
        <f>D50+E50</f>
        <v/>
      </c>
    </row>
    <row r="51" ht="15" customHeight="1" s="26">
      <c r="A51" s="2" t="inlineStr">
        <is>
          <t>Sudan</t>
        </is>
      </c>
      <c r="B51" s="2">
        <f>COUNTIFS('Sovereign Wealth Funds'!A:A,A51,'Sovereign Wealth Funds'!E:E,"&gt;0")</f>
        <v/>
      </c>
      <c r="C51" s="2">
        <f>COUNTIF('Pension Funds'!A:A,A51)</f>
        <v/>
      </c>
      <c r="D51" s="4">
        <f>SUMIF('Sovereign Wealth Funds'!A:A,A51,'Sovereign Wealth Funds'!E:E)</f>
        <v/>
      </c>
      <c r="E51" s="4">
        <f>SUMIF('Pension Funds'!A:A,A51,'Pension Funds'!E:E)</f>
        <v/>
      </c>
      <c r="F51" s="4">
        <f>D51+E51</f>
        <v/>
      </c>
    </row>
    <row r="52" ht="15" customHeight="1" s="26">
      <c r="A52" s="2" t="inlineStr">
        <is>
          <t>Tanzania</t>
        </is>
      </c>
      <c r="B52" s="2">
        <f>COUNTIFS('Sovereign Wealth Funds'!A:A,A52,'Sovereign Wealth Funds'!E:E,"&gt;0")</f>
        <v/>
      </c>
      <c r="C52" s="2">
        <f>COUNTIF('Pension Funds'!A:A,A52)</f>
        <v/>
      </c>
      <c r="D52" s="4">
        <f>SUMIF('Sovereign Wealth Funds'!A:A,A52,'Sovereign Wealth Funds'!E:E)</f>
        <v/>
      </c>
      <c r="E52" s="4">
        <f>SUMIF('Pension Funds'!A:A,A52,'Pension Funds'!E:E)</f>
        <v/>
      </c>
      <c r="F52" s="4">
        <f>D52+E52</f>
        <v/>
      </c>
    </row>
    <row r="53" ht="15" customHeight="1" s="26">
      <c r="A53" s="2" t="inlineStr">
        <is>
          <t>Togo</t>
        </is>
      </c>
      <c r="B53" s="2">
        <f>COUNTIFS('Sovereign Wealth Funds'!A:A,A53,'Sovereign Wealth Funds'!E:E,"&gt;0")</f>
        <v/>
      </c>
      <c r="C53" s="2">
        <f>COUNTIF('Pension Funds'!A:A,A53)</f>
        <v/>
      </c>
      <c r="D53" s="4">
        <f>SUMIF('Sovereign Wealth Funds'!A:A,A53,'Sovereign Wealth Funds'!E:E)</f>
        <v/>
      </c>
      <c r="E53" s="4">
        <f>SUMIF('Pension Funds'!A:A,A53,'Pension Funds'!E:E)</f>
        <v/>
      </c>
      <c r="F53" s="4">
        <f>D53+E53</f>
        <v/>
      </c>
    </row>
    <row r="54" ht="15" customHeight="1" s="26">
      <c r="A54" s="2" t="inlineStr">
        <is>
          <t>Tunisia</t>
        </is>
      </c>
      <c r="B54" s="2">
        <f>COUNTIFS('Sovereign Wealth Funds'!A:A,A54,'Sovereign Wealth Funds'!E:E,"&gt;0")</f>
        <v/>
      </c>
      <c r="C54" s="2">
        <f>COUNTIF('Pension Funds'!A:A,A54)</f>
        <v/>
      </c>
      <c r="D54" s="4">
        <f>SUMIF('Sovereign Wealth Funds'!A:A,A54,'Sovereign Wealth Funds'!E:E)</f>
        <v/>
      </c>
      <c r="E54" s="4">
        <f>SUMIF('Pension Funds'!A:A,A54,'Pension Funds'!E:E)</f>
        <v/>
      </c>
      <c r="F54" s="4">
        <f>D54+E54</f>
        <v/>
      </c>
    </row>
    <row r="55" ht="15" customHeight="1" s="26">
      <c r="A55" s="2" t="inlineStr">
        <is>
          <t>Uganda</t>
        </is>
      </c>
      <c r="B55" s="2">
        <f>COUNTIFS('Sovereign Wealth Funds'!A:A,A55,'Sovereign Wealth Funds'!E:E,"&gt;0")</f>
        <v/>
      </c>
      <c r="C55" s="2">
        <f>COUNTIF('Pension Funds'!A:A,A55)</f>
        <v/>
      </c>
      <c r="D55" s="4">
        <f>SUMIF('Sovereign Wealth Funds'!A:A,A55,'Sovereign Wealth Funds'!E:E)</f>
        <v/>
      </c>
      <c r="E55" s="4">
        <f>SUMIF('Pension Funds'!A:A,A55,'Pension Funds'!E:E)</f>
        <v/>
      </c>
      <c r="F55" s="4">
        <f>D55+E55</f>
        <v/>
      </c>
    </row>
    <row r="56" ht="15" customHeight="1" s="26">
      <c r="A56" s="2" t="inlineStr">
        <is>
          <t>Zambia</t>
        </is>
      </c>
      <c r="B56" s="2">
        <f>COUNTIFS('Sovereign Wealth Funds'!A:A,A56,'Sovereign Wealth Funds'!E:E,"&gt;0")</f>
        <v/>
      </c>
      <c r="C56" s="2">
        <f>COUNTIF('Pension Funds'!A:A,A56)</f>
        <v/>
      </c>
      <c r="D56" s="4">
        <f>SUMIF('Sovereign Wealth Funds'!A:A,A56,'Sovereign Wealth Funds'!E:E)</f>
        <v/>
      </c>
      <c r="E56" s="4">
        <f>SUMIF('Pension Funds'!A:A,A56,'Pension Funds'!E:E)</f>
        <v/>
      </c>
      <c r="F56" s="4">
        <f>D56+E56</f>
        <v/>
      </c>
    </row>
    <row r="57" ht="15" customHeight="1" s="26">
      <c r="A57" s="2" t="inlineStr">
        <is>
          <t>Zimbabwe</t>
        </is>
      </c>
      <c r="B57" s="2">
        <f>COUNTIFS('Sovereign Wealth Funds'!A:A,A57,'Sovereign Wealth Funds'!E:E,"&gt;0")</f>
        <v/>
      </c>
      <c r="C57" s="2">
        <f>COUNTIF('Pension Funds'!A:A,A57)</f>
        <v/>
      </c>
      <c r="D57" s="4">
        <f>SUMIF('Sovereign Wealth Funds'!A:A,A57,'Sovereign Wealth Funds'!E:E)</f>
        <v/>
      </c>
      <c r="E57" s="4">
        <f>SUMIF('Pension Funds'!A:A,A57,'Pension Funds'!E:E)</f>
        <v/>
      </c>
      <c r="F57" s="4">
        <f>D57+E57</f>
        <v/>
      </c>
    </row>
    <row r="58" ht="15" customHeight="1" s="26">
      <c r="A58" s="2" t="inlineStr">
        <is>
          <t>TOTAL</t>
        </is>
      </c>
      <c r="B58" s="2">
        <f>SUM(B4:B57)</f>
        <v/>
      </c>
      <c r="C58" s="2">
        <f>SUM(C4:C57)</f>
        <v/>
      </c>
      <c r="D58" s="4">
        <f>SUM(D4:D57)</f>
        <v/>
      </c>
      <c r="E58" s="4">
        <f>SUM(E4:E57)</f>
        <v/>
      </c>
      <c r="F58" s="4">
        <f>SUM(F4:F57)</f>
        <v/>
      </c>
    </row>
  </sheetData>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B24"/>
  <sheetViews>
    <sheetView zoomScaleNormal="100" workbookViewId="0">
      <selection activeCell="A1" sqref="A1"/>
    </sheetView>
  </sheetViews>
  <sheetFormatPr baseColWidth="8" defaultColWidth="8.7109375" defaultRowHeight="15"/>
  <cols>
    <col width="28" customWidth="1" style="26" min="1" max="1"/>
    <col width="110" customWidth="1" style="26" min="2" max="2"/>
  </cols>
  <sheetData>
    <row r="1" ht="21.75" customHeight="1" s="26">
      <c r="A1" s="5" t="inlineStr">
        <is>
          <t>Methodology, sources, and important caveats</t>
        </is>
      </c>
    </row>
    <row r="2" ht="15" customHeight="1" s="26">
      <c r="A2" s="6" t="n"/>
      <c r="B2" s="28" t="n"/>
    </row>
    <row r="3" ht="34.5" customHeight="1" s="26">
      <c r="A3" s="6" t="inlineStr">
        <is>
          <t>Scope</t>
        </is>
      </c>
      <c r="B3" s="28" t="inlineStr">
        <is>
          <t>All 54 African countries. Allocator universe: sovereign wealth funds (any mandate type) plus pension funds of any kind (public, private, multi-employer, umbrella). Real estate is excluded per scoping; alts of interest are PE/VC, private credit &amp; infrastructure, and direct/co-investments.</t>
        </is>
      </c>
    </row>
    <row r="4" ht="15" customHeight="1" s="26">
      <c r="A4" s="6" t="n"/>
      <c r="B4" s="28" t="n"/>
    </row>
    <row r="5" ht="34.5" customHeight="1" s="26">
      <c r="A5" s="6" t="inlineStr">
        <is>
          <t>AUM figures</t>
        </is>
      </c>
      <c r="B5" s="28" t="inlineStr">
        <is>
          <t>All AUM values are USD-converted approximations and should be treated as order-of-magnitude only. Currency basis (local) and as-of year are noted. Where the institution reports in a local currency, the USD value will move with FX as much as with portfolio performance. Confidence flags reflect source quality, not portfolio performance.</t>
        </is>
      </c>
    </row>
    <row r="6" ht="15" customHeight="1" s="26">
      <c r="A6" s="6" t="n"/>
      <c r="B6" s="28" t="n"/>
    </row>
    <row r="7" ht="34.5" customHeight="1" s="26">
      <c r="A7" s="6" t="inlineStr">
        <is>
          <t>Confidence flags</t>
        </is>
      </c>
      <c r="B7" s="28" t="inlineStr">
        <is>
          <t>H = High: AUM published in audited annual report or regulator return within last 18 months. M = Medium: AUM from secondary databases, trade press, or older primary disclosure. L = Low: AUM is estimated, dated, or based on indirect inference (e.g., regulatory share of contributions). Low-confidence rows MUST be verified before academic publication.</t>
        </is>
      </c>
    </row>
    <row r="8" ht="15" customHeight="1" s="26">
      <c r="A8" s="6" t="n"/>
      <c r="B8" s="28" t="n"/>
    </row>
    <row r="9" ht="57" customHeight="1" s="26">
      <c r="A9" s="6" t="inlineStr">
        <is>
          <t>Universe completeness</t>
        </is>
      </c>
      <c r="B9" s="28" t="inlineStr">
        <is>
          <t>Sovereign wealth funds: substantively complete (Africa has ~22 operational SWFs plus several proposed/planned). Pension funds: covers the largest scheme(s) per country plus the full PFA universe for Nigeria and the major schemes for South Africa, Morocco, and Kenya. Smaller occupational schemes (especially South Africa's ~1,400 registered schemes, Kenya's ~1,300, and Mauritius's standalone corporate schemes) are NOT individually listed — most are too small to make alts commitments. Aggregate AUM for these unlisted schemes is material in SA and Kenya and should be referenced via FSCA and RBA aggregate reports.</t>
        </is>
      </c>
    </row>
    <row r="10" ht="15" customHeight="1" s="26">
      <c r="A10" s="6" t="n"/>
      <c r="B10" s="28" t="n"/>
    </row>
    <row r="11" ht="57" customHeight="1" s="26">
      <c r="A11" s="6" t="inlineStr">
        <is>
          <t>Source priorities for verification</t>
        </is>
      </c>
      <c r="B11" s="28" t="inlineStr">
        <is>
          <t>Phase-2 verification should pull, in this order: (1) audited annual reports from each institution's website; (2) regulator returns (FSCA Reg 28, PenCom Q-reports, RBA industry reports, NPRA Ghana, CIPRES bulletins, ACAPS Morocco); (3) SWF databases (SWFI, Global SWF, IFSWF); (4) AVCA/SAVCA/EAVCA LP surveys; (5) trade press (African Private Equity News, Africa Capital Digest, *DealStreetAfrica*). Where access is available: Preqin and PitchBook LP profiles. Document the source URL + access date for each AUM figure before publication.</t>
        </is>
      </c>
    </row>
    <row r="12" ht="15" customHeight="1" s="26">
      <c r="A12" s="6" t="n"/>
      <c r="B12" s="28" t="n"/>
    </row>
    <row r="13" ht="68.25" customHeight="1" s="26">
      <c r="A13" s="6" t="inlineStr">
        <is>
          <t>Known limitations</t>
        </is>
      </c>
      <c r="B13" s="28" t="inlineStr">
        <is>
          <t>1) Several Francophone CIPRES funds and most North African public PFs do not publish portfolio-detail in English; verify via local-language sources. 2) Ethiopian Investment Holdings AUM is the book value of SOE stakes, not investable capital — apples-to-oranges with cash-funded SWFs. 3) South African umbrella DC funds (Sanlam Umbrella, Old Mutual SuperFund, Alexforbes) are intermediaries — alts commitments flow through underlying portfolio managers, not from the umbrella entity directly. 4) Several proposed SWFs (Kenya, Tanzania) and dormant SWFs (Zimbabwe SWFZ) are included for completeness but have no investable capital. 5) Libya's LIA is mostly under UN sanctions; pre-2011 alts holdings are partially documented but unlikely to be acted on currently.</t>
        </is>
      </c>
    </row>
    <row r="14" ht="15" customHeight="1" s="26">
      <c r="A14" s="6" t="n"/>
      <c r="B14" s="28" t="n"/>
    </row>
    <row r="15" ht="57" customHeight="1" s="26">
      <c r="A15" s="6" t="inlineStr">
        <is>
          <t>Look-through note (CRITICAL)</t>
        </is>
      </c>
      <c r="B15" s="28" t="inlineStr">
        <is>
          <t>Many of the largest African pension pools (notably GEPF in South Africa and the Moroccan parastatal schemes managed by CDG) deploy alts via intermediary asset managers. When attributing alts commitments to allocators, the methodology choice is: (a) attribute to ultimate asset owner (e.g., 'GEPF committed via PIC to Helios IV'), or (b) attribute to the intermediary manager. Default rule for this research is (a) — ultimate asset owner — with the intermediary documented in the same row. This avoids double-counting and is more useful for the academic question of which institutions are deploying capital.</t>
        </is>
      </c>
    </row>
    <row r="16" ht="15" customHeight="1" s="26">
      <c r="A16" s="6" t="n"/>
      <c r="B16" s="28" t="n"/>
    </row>
    <row r="17" ht="45.75" customHeight="1" s="26">
      <c r="A17" s="6" t="inlineStr">
        <is>
          <t>Next phase</t>
        </is>
      </c>
      <c r="B17" s="28" t="inlineStr">
        <is>
          <t>Phase 2 (evidence layer) takes this roster, drops below USD 500m, and pursues for each remaining institution: (i) most recent annual report; (ii) regulator filing for the most recent reporting period; (iii) news search for LP mentions in African PE/infra fund closes over the past 7 years; (iv) GP-side disclosure: for each of the ~30 most active African-focused GPs, harvest every disclosed LP mention since 2018.</t>
        </is>
      </c>
    </row>
    <row r="19" ht="15" customHeight="1" s="26">
      <c r="A19" s="27" t="inlineStr">
        <is>
          <t>Commitments Database scope (clarified)</t>
        </is>
      </c>
    </row>
    <row r="20" ht="199.5" customHeight="1" s="26">
      <c r="A20" s="28" t="inlineStr">
        <is>
          <t>The Commitments Database contains ONLY African pension fund and sovereign wealth fund allocator-to-fund-or-deal commitments. It also includes adjacent entities that are functionally allocator-like and integral to the SWF/pension narrative: (i) sovereign governments making direct AFC equity investments (Côte d'Ivoire, Sierra Leone, Egypt) — functionally similar to SWF deployment; (ii) the KEPFIC pension-fund consortium; (iii) categorical 'multiple Nigerian PFAs' / 'Kenyan pension funds' / 'Ghanaian pension funds' cohort entries where the source explicitly identifies pension fund participation but doesn't name individual schemes. 
DFI catalytic capital providers (FSDAi, Soros Economic Development Fund, FCA Investments, etc.), asset managers acting as intermediaries (Old Mutual IG, Ninety One, Stanbic IMS Ghana, CAL Asset Management Ghana), and commercial banks (Rawbank, Attijariwafa, NIB Egypt) are NOT in the Commitments Database — they appear in the 'Funds &amp; LP Co-Investors' tab as fund-level co-LPs, and in the 'DFI Co-Investor Patterns' tab for frequency analysis.</t>
        </is>
      </c>
    </row>
    <row r="22" ht="75" customHeight="1" s="26">
      <c r="A22" s="13" t="inlineStr">
        <is>
          <t>2026-05-14 inclusion audit</t>
        </is>
      </c>
      <c r="B22" s="14" t="inlineStr">
        <is>
          <t>Rows now require evidence of actual African PF/SWF participation for the fund/vehicle. DFI-only, planned, expected, targeted, generic LP-base, and MoU-only rows were removed from the fund and commitment fact tables. KEPFIC and AOFSA are retained only as aggregate pooled-mandate archetypes because public sources evidence actual member-fund investments/commitments; individual member-only rows were removed from the Commitments Database. See Inclusion Audit tab.</t>
        </is>
      </c>
    </row>
    <row r="23" ht="30" customHeight="1" s="26">
      <c r="A23" s="13" t="inlineStr">
        <is>
          <t>Pipeline &amp; Mandates category</t>
        </is>
      </c>
      <c r="B23" s="14" t="inlineStr">
        <is>
          <t>Targeted/expected/planned rows are separated into the Pipeline &amp; Mandates tab and excluded from the Commitments Database until actual allocator-to-vehicle commitments are publicly evidenced.</t>
        </is>
      </c>
    </row>
    <row r="24">
      <c r="A24" t="inlineStr">
        <is>
          <t>DFI canonicalization</t>
        </is>
      </c>
      <c r="B24" t="inlineStr">
        <is>
          <t>DFI nomenclature is canonicalized for the web app network graph: each DFI has one node even when source text uses variants such as BII/CDC, CDC Group/BII, EIB Global, Findev Canada, FSDAi, or Proparco/FISEA.</t>
        </is>
      </c>
    </row>
  </sheetData>
  <mergeCells count="1">
    <mergeCell ref="A20:B20"/>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70"/>
  <sheetViews>
    <sheetView workbookViewId="0">
      <pane ySplit="1" topLeftCell="A2" activePane="bottomLeft" state="frozen"/>
      <selection pane="bottomLeft" activeCell="A1" sqref="A1"/>
    </sheetView>
  </sheetViews>
  <sheetFormatPr baseColWidth="8" defaultRowHeight="15"/>
  <cols>
    <col width="24" customWidth="1" style="26" min="1" max="1"/>
    <col width="12" customWidth="1" style="26" min="2" max="2"/>
    <col width="42" customWidth="1" style="26" min="3" max="3"/>
    <col width="55" customWidth="1" style="26" min="4" max="4"/>
    <col width="20" customWidth="1" style="26" min="5" max="5"/>
    <col width="32" customWidth="1" style="26" min="6" max="6"/>
    <col width="72" customWidth="1" style="26" min="7" max="7"/>
    <col width="80" customWidth="1" style="26" min="8" max="8"/>
  </cols>
  <sheetData>
    <row r="1">
      <c r="A1" s="15" t="inlineStr">
        <is>
          <t>Sheet</t>
        </is>
      </c>
      <c r="B1" s="15" t="inlineStr">
        <is>
          <t>Original row</t>
        </is>
      </c>
      <c r="C1" s="15" t="inlineStr">
        <is>
          <t>Vehicle / entity</t>
        </is>
      </c>
      <c r="D1" s="15" t="inlineStr">
        <is>
          <t>Column H / named African PF/SWF evidence</t>
        </is>
      </c>
      <c r="E1" s="15" t="inlineStr">
        <is>
          <t>Decision</t>
        </is>
      </c>
      <c r="F1" s="15" t="inlineStr">
        <is>
          <t>Audit confidence</t>
        </is>
      </c>
      <c r="G1" s="15" t="inlineStr">
        <is>
          <t>Rationale</t>
        </is>
      </c>
      <c r="H1" s="15" t="inlineStr">
        <is>
          <t>Source URLs</t>
        </is>
      </c>
    </row>
    <row r="2" ht="30" customHeight="1" s="26">
      <c r="A2" s="16" t="inlineStr">
        <is>
          <t>Funds &amp; LP Co-Investors</t>
        </is>
      </c>
      <c r="B2" s="16" t="n">
        <v>4</v>
      </c>
      <c r="C2" s="16" t="inlineStr">
        <is>
          <t>Growth Investment Partners (GIP) Ghana</t>
        </is>
      </c>
      <c r="D2" s="16" t="inlineStr">
        <is>
          <t>Axis Pension Trust (USD 5m, 2026)</t>
        </is>
      </c>
      <c r="E2" s="16" t="inlineStr">
        <is>
          <t>Include</t>
        </is>
      </c>
      <c r="F2" s="16" t="inlineStr">
        <is>
          <t>Include</t>
        </is>
      </c>
      <c r="G2" s="16" t="inlineStr">
        <is>
          <t>Column H identifies a named African PF/SWF, a named cohort, or the allocator itself is an African SWF/PF vehicle.</t>
        </is>
      </c>
      <c r="H2" s="16" t="n"/>
    </row>
    <row r="3" ht="30" customHeight="1" s="26">
      <c r="A3" s="16" t="inlineStr">
        <is>
          <t>Funds &amp; LP Co-Investors</t>
        </is>
      </c>
      <c r="B3" s="16" t="n">
        <v>5</v>
      </c>
      <c r="C3" s="16" t="inlineStr">
        <is>
          <t>Growth Investment Partners (GIP) Zambia</t>
        </is>
      </c>
      <c r="D3" s="16" t="inlineStr">
        <is>
          <t>NAPSA Zambia (USD 17.5m)</t>
        </is>
      </c>
      <c r="E3" s="16" t="inlineStr">
        <is>
          <t>Include</t>
        </is>
      </c>
      <c r="F3" s="16" t="inlineStr">
        <is>
          <t>Include</t>
        </is>
      </c>
      <c r="G3" s="16" t="inlineStr">
        <is>
          <t>Column H identifies a named African PF/SWF, a named cohort, or the allocator itself is an African SWF/PF vehicle.</t>
        </is>
      </c>
      <c r="H3" s="16" t="n"/>
    </row>
    <row r="4" ht="45" customHeight="1" s="26">
      <c r="A4" s="16" t="inlineStr">
        <is>
          <t>Funds &amp; LP Co-Investors</t>
        </is>
      </c>
      <c r="B4" s="16" t="n">
        <v>6</v>
      </c>
      <c r="C4" s="16" t="inlineStr">
        <is>
          <t>Ci-Gaba Fund of Funds</t>
        </is>
      </c>
      <c r="D4" s="16" t="inlineStr">
        <is>
          <t>Axis Pension Trust, Enterprise Trustees, plus Stanbic IMS Ghana &amp; CAL AM Ghana managing additional pension money</t>
        </is>
      </c>
      <c r="E4" s="16" t="inlineStr">
        <is>
          <t>Include</t>
        </is>
      </c>
      <c r="F4" s="16" t="inlineStr">
        <is>
          <t>Include</t>
        </is>
      </c>
      <c r="G4" s="16" t="inlineStr">
        <is>
          <t>Column H identifies a named African PF/SWF, a named cohort, or the allocator itself is an African SWF/PF vehicle.</t>
        </is>
      </c>
      <c r="H4" s="16" t="n"/>
    </row>
    <row r="5" ht="30" customHeight="1" s="26">
      <c r="A5" s="16" t="inlineStr">
        <is>
          <t>Funds &amp; LP Co-Investors</t>
        </is>
      </c>
      <c r="B5" s="16" t="n">
        <v>7</v>
      </c>
      <c r="C5" s="16" t="inlineStr">
        <is>
          <t>ARM-Harith Infrastructure Fund I</t>
        </is>
      </c>
      <c r="D5" s="16" t="inlineStr">
        <is>
          <t>Stanbic IBTC Pension Managers, ARM Pension, other PFAs (named in industry coverage)</t>
        </is>
      </c>
      <c r="E5" s="16" t="inlineStr">
        <is>
          <t>Include</t>
        </is>
      </c>
      <c r="F5" s="16" t="inlineStr">
        <is>
          <t>Include</t>
        </is>
      </c>
      <c r="G5" s="16" t="inlineStr">
        <is>
          <t>Column H identifies a named African PF/SWF, a named cohort, or the allocator itself is an African SWF/PF vehicle.</t>
        </is>
      </c>
      <c r="H5" s="16" t="n"/>
    </row>
    <row r="6" ht="45" customHeight="1" s="26">
      <c r="A6" s="16" t="inlineStr">
        <is>
          <t>Funds &amp; LP Co-Investors</t>
        </is>
      </c>
      <c r="B6" s="16" t="n">
        <v>8</v>
      </c>
      <c r="C6" s="16" t="inlineStr">
        <is>
          <t>ARM-Harith Climate &amp; Transition Infrastructure Fund (ACT Fund)</t>
        </is>
      </c>
      <c r="D6" s="16" t="inlineStr">
        <is>
          <t>Nigerian PFAs (expected; 75% local-currency tranche designed to unlock them)</t>
        </is>
      </c>
      <c r="E6" s="16" t="inlineStr">
        <is>
          <t>Exclude</t>
        </is>
      </c>
      <c r="F6" s="16" t="inlineStr">
        <is>
          <t>Excluded - insufficient actual African PF/SWF evidence</t>
        </is>
      </c>
      <c r="G6" s="16" t="inlineStr">
        <is>
          <t>Pipeline/catalytic structure only. Public evidence says FSDAi commitment is expected to unlock Nigerian pension contributions; no named/closed PFA LP evidence found.</t>
        </is>
      </c>
      <c r="H6" s="16" t="inlineStr">
        <is>
          <t>https://fsdafrica.org/nairobi-15-april-2025-10am-eat-fsd-africa-investments-fsdai-the-uk-backed-specialist-development-finance-investor-is-investing-gbp-10-million-into-arm-hariths-climate-and-transition-in/</t>
        </is>
      </c>
    </row>
    <row r="7" ht="30" customHeight="1" s="26">
      <c r="A7" s="16" t="inlineStr">
        <is>
          <t>Funds &amp; LP Co-Investors</t>
        </is>
      </c>
      <c r="B7" s="16" t="n">
        <v>9</v>
      </c>
      <c r="C7" s="16" t="inlineStr">
        <is>
          <t>Oyass Capital (SME fund)</t>
        </is>
      </c>
      <c r="D7" s="16" t="inlineStr">
        <is>
          <t>FONSIS</t>
        </is>
      </c>
      <c r="E7" s="16" t="inlineStr">
        <is>
          <t>Include</t>
        </is>
      </c>
      <c r="F7" s="16" t="inlineStr">
        <is>
          <t>Include</t>
        </is>
      </c>
      <c r="G7" s="16" t="inlineStr">
        <is>
          <t>Retain as a fund/financing vehicle, not a GP. FONSIS describes Oyass Capital as an SME private-equity fund/financing vehicle; SEAF is the manager.</t>
        </is>
      </c>
      <c r="H7" s="16" t="n"/>
    </row>
    <row r="8" ht="30" customHeight="1" s="26">
      <c r="A8" s="16" t="inlineStr">
        <is>
          <t>Funds &amp; LP Co-Investors</t>
        </is>
      </c>
      <c r="B8" s="16" t="n">
        <v>10</v>
      </c>
      <c r="C8" s="16" t="inlineStr">
        <is>
          <t>Yield Uganda Investment Fund</t>
        </is>
      </c>
      <c r="D8" s="16" t="inlineStr">
        <is>
          <t>NSSF Uganda (EUR 12m founding)</t>
        </is>
      </c>
      <c r="E8" s="16" t="inlineStr">
        <is>
          <t>Include</t>
        </is>
      </c>
      <c r="F8" s="16" t="inlineStr">
        <is>
          <t>Include</t>
        </is>
      </c>
      <c r="G8" s="16" t="inlineStr">
        <is>
          <t>Column H identifies a named African PF/SWF, a named cohort, or the allocator itself is an African SWF/PF vehicle.</t>
        </is>
      </c>
      <c r="H8" s="16" t="n"/>
    </row>
    <row r="9" ht="45" customHeight="1" s="26">
      <c r="A9" s="16" t="inlineStr">
        <is>
          <t>Funds &amp; LP Co-Investors</t>
        </is>
      </c>
      <c r="B9" s="16" t="n">
        <v>11</v>
      </c>
      <c r="C9" s="16" t="inlineStr">
        <is>
          <t>Ascent Rift Valley Fund I (ARVF I)</t>
        </is>
      </c>
      <c r="D9" s="16" t="inlineStr">
        <is>
          <t>KPLC Pension Fund (USD 4m, 2014 — 'first East African pension LP in PE'), NMG Pension Fund (USD 1m, 2015 via STANLIB)</t>
        </is>
      </c>
      <c r="E9" s="16" t="inlineStr">
        <is>
          <t>Include</t>
        </is>
      </c>
      <c r="F9" s="16" t="inlineStr">
        <is>
          <t>Include</t>
        </is>
      </c>
      <c r="G9" s="16" t="inlineStr">
        <is>
          <t>Column H identifies a named African PF/SWF, a named cohort, or the allocator itself is an African SWF/PF vehicle.</t>
        </is>
      </c>
      <c r="H9" s="16" t="n"/>
    </row>
    <row r="10" ht="30" customHeight="1" s="26">
      <c r="A10" s="16" t="inlineStr">
        <is>
          <t>Funds &amp; LP Co-Investors</t>
        </is>
      </c>
      <c r="B10" s="16" t="n">
        <v>12</v>
      </c>
      <c r="C10" s="16" t="inlineStr">
        <is>
          <t>Ascent Rift Valley Fund II (ARVF II)</t>
        </is>
      </c>
      <c r="D10" s="16" t="inlineStr">
        <is>
          <t>KPLC Pension Fund x2 (likely main + Staff RBS), NMG Pension Fund</t>
        </is>
      </c>
      <c r="E10" s="16" t="inlineStr">
        <is>
          <t>Include</t>
        </is>
      </c>
      <c r="F10" s="16" t="inlineStr">
        <is>
          <t>Include</t>
        </is>
      </c>
      <c r="G10" s="16" t="inlineStr">
        <is>
          <t>Column H identifies a named African PF/SWF, a named cohort, or the allocator itself is an African SWF/PF vehicle.</t>
        </is>
      </c>
      <c r="H10" s="16" t="n"/>
    </row>
    <row r="11" ht="30" customHeight="1" s="26">
      <c r="A11" s="16" t="inlineStr">
        <is>
          <t>Funds &amp; LP Co-Investors</t>
        </is>
      </c>
      <c r="B11" s="16" t="n">
        <v>13</v>
      </c>
      <c r="C11" s="16" t="inlineStr">
        <is>
          <t>Adenia Capital V</t>
        </is>
      </c>
      <c r="D11" s="16" t="inlineStr">
        <is>
          <t>PIC South Africa (named); Kenyan pension funds (cohort); Ghanaian pension funds (cohort)</t>
        </is>
      </c>
      <c r="E11" s="16" t="inlineStr">
        <is>
          <t>Include</t>
        </is>
      </c>
      <c r="F11" s="16" t="inlineStr">
        <is>
          <t>Include</t>
        </is>
      </c>
      <c r="G11" s="16" t="inlineStr">
        <is>
          <t>Column H identifies a named African PF/SWF, a named cohort, or the allocator itself is an African SWF/PF vehicle.</t>
        </is>
      </c>
      <c r="H11" s="16" t="inlineStr">
        <is>
          <t>https://impactalpha.com/african-pension-funds-back-adenia-capitals-fifth-impact-private-equity-fund/ ; https://www.adenia.com/investments/</t>
        </is>
      </c>
    </row>
    <row r="12" ht="30" customHeight="1" s="26">
      <c r="A12" s="16" t="inlineStr">
        <is>
          <t>Funds &amp; LP Co-Investors</t>
        </is>
      </c>
      <c r="B12" s="16" t="n">
        <v>14</v>
      </c>
      <c r="C12" s="16" t="inlineStr">
        <is>
          <t>Adenia Africa Entrepreneurial Fund (AEF)</t>
        </is>
      </c>
      <c r="D12" s="16" t="inlineStr">
        <is>
          <t>Not individually named</t>
        </is>
      </c>
      <c r="E12" s="16" t="inlineStr">
        <is>
          <t>Exclude</t>
        </is>
      </c>
      <c r="F12" s="16" t="inlineStr">
        <is>
          <t>Excluded - insufficient actual African PF/SWF evidence</t>
        </is>
      </c>
      <c r="G12" s="16" t="inlineStr">
        <is>
          <t>No public African PF/SWF LP identified for AEF; available DFI disclosures name Proparco/BIO/AfDB-style support rather than African pension/SWF LPs.</t>
        </is>
      </c>
      <c r="H12" s="16" t="n"/>
    </row>
    <row r="13" ht="30" customHeight="1" s="26">
      <c r="A13" s="16" t="inlineStr">
        <is>
          <t>Funds &amp; LP Co-Investors</t>
        </is>
      </c>
      <c r="B13" s="16" t="n">
        <v>15</v>
      </c>
      <c r="C13" s="16" t="inlineStr">
        <is>
          <t>Catalyst Fund II</t>
        </is>
      </c>
      <c r="D13" s="16" t="inlineStr">
        <is>
          <t>'Local pension funds' (NSSF Uganda likely; others not named)</t>
        </is>
      </c>
      <c r="E13" s="16" t="inlineStr">
        <is>
          <t>Include</t>
        </is>
      </c>
      <c r="F13" s="16" t="inlineStr">
        <is>
          <t>Include</t>
        </is>
      </c>
      <c r="G13" s="16" t="inlineStr">
        <is>
          <t>Column H identifies a named African PF/SWF, a named cohort, or the allocator itself is an African SWF/PF vehicle.</t>
        </is>
      </c>
      <c r="H13" s="16" t="n"/>
    </row>
    <row r="14" ht="30" customHeight="1" s="26">
      <c r="A14" s="16" t="inlineStr">
        <is>
          <t>Funds &amp; LP Co-Investors</t>
        </is>
      </c>
      <c r="B14" s="16" t="n">
        <v>17</v>
      </c>
      <c r="C14" s="16" t="inlineStr">
        <is>
          <t>Helios CLEAR Fund (Climate, Energy Access &amp; Resilience)</t>
        </is>
      </c>
      <c r="D14" s="16" t="inlineStr">
        <is>
          <t>None publicly named (Helios indicates SWFs + pension funds among LPs but unspecified)</t>
        </is>
      </c>
      <c r="E14" s="16" t="inlineStr">
        <is>
          <t>Exclude</t>
        </is>
      </c>
      <c r="F14" s="16" t="inlineStr">
        <is>
          <t>Excluded - insufficient actual African PF/SWF evidence</t>
        </is>
      </c>
      <c r="G14" s="16" t="inlineStr">
        <is>
          <t>First-close evidence names DFIs/impact investors; no African PF/SWF LP publicly named. Generic Helios pension/SWF investor-base language is not fund-specific enough.</t>
        </is>
      </c>
      <c r="H14" s="16" t="n"/>
    </row>
    <row r="15" ht="45" customHeight="1" s="26">
      <c r="A15" s="16" t="inlineStr">
        <is>
          <t>Funds &amp; LP Co-Investors</t>
        </is>
      </c>
      <c r="B15" s="16" t="n">
        <v>18</v>
      </c>
      <c r="C15" s="16" t="inlineStr">
        <is>
          <t>Helios Fund V</t>
        </is>
      </c>
      <c r="D15" s="16" t="inlineStr">
        <is>
          <t>Not yet disclosed publicly</t>
        </is>
      </c>
      <c r="E15" s="16" t="inlineStr">
        <is>
          <t>Exclude</t>
        </is>
      </c>
      <c r="F15" s="16" t="inlineStr">
        <is>
          <t>Excluded - insufficient actual African PF/SWF evidence</t>
        </is>
      </c>
      <c r="G15" s="16" t="inlineStr">
        <is>
          <t>Newer fundraising row with no disclosed African PF/SWF LP.</t>
        </is>
      </c>
      <c r="H15" s="16" t="n"/>
    </row>
    <row r="16" ht="30" customHeight="1" s="26">
      <c r="A16" s="16" t="inlineStr">
        <is>
          <t>Funds &amp; LP Co-Investors</t>
        </is>
      </c>
      <c r="B16" s="16" t="n">
        <v>19</v>
      </c>
      <c r="C16" s="16" t="inlineStr">
        <is>
          <t>DPI African Development Partners IV (ADP IV)</t>
        </is>
      </c>
      <c r="D16" s="16" t="inlineStr">
        <is>
          <t>Not yet disclosed publicly (DPI LP base described as including 'sovereign wealth funds + public pension funds' generally)</t>
        </is>
      </c>
      <c r="E16" s="16" t="inlineStr">
        <is>
          <t>Exclude</t>
        </is>
      </c>
      <c r="F16" s="16" t="inlineStr">
        <is>
          <t>Excluded - insufficient actual African PF/SWF evidence</t>
        </is>
      </c>
      <c r="G16" s="16" t="inlineStr">
        <is>
          <t>Generic global LP-base language only; no African PF/SWF commitment publicly named for ADP IV.</t>
        </is>
      </c>
      <c r="H16" s="16" t="n"/>
    </row>
    <row r="17" ht="45" customHeight="1" s="26">
      <c r="A17" s="16" t="inlineStr">
        <is>
          <t>Funds &amp; LP Co-Investors</t>
        </is>
      </c>
      <c r="B17" s="16" t="n">
        <v>20</v>
      </c>
      <c r="C17" s="16" t="inlineStr">
        <is>
          <t>Phatisa Food Fund 3</t>
        </is>
      </c>
      <c r="D17" s="16" t="inlineStr">
        <is>
          <t>Not publicly named</t>
        </is>
      </c>
      <c r="E17" s="16" t="inlineStr">
        <is>
          <t>Exclude</t>
        </is>
      </c>
      <c r="F17" s="16" t="inlineStr">
        <is>
          <t>Excluded - insufficient actual African PF/SWF evidence</t>
        </is>
      </c>
      <c r="G17" s="16" t="inlineStr">
        <is>
          <t>First-close release names BII, FinDev Canada, Norfund, Swedfund, IFC and Phatisa; no African PF/SWF LP.</t>
        </is>
      </c>
      <c r="H17" s="16" t="inlineStr">
        <is>
          <t>https://www.phatisa.com/post/phatisa-food-fund-3-reaches-us-86-million-first-close-and-signs-its-first-investment</t>
        </is>
      </c>
    </row>
    <row r="18" ht="30" customHeight="1" s="26">
      <c r="A18" s="16" t="inlineStr">
        <is>
          <t>Funds &amp; LP Co-Investors</t>
        </is>
      </c>
      <c r="B18" s="16" t="n">
        <v>21</v>
      </c>
      <c r="C18" s="16" t="inlineStr">
        <is>
          <t>Vantage Mezzanine IV (Pan-African sub-fund)</t>
        </is>
      </c>
      <c r="D18" s="16" t="inlineStr">
        <is>
          <t>'A number of Southern African pension funds' (per Vantage disclosure; SA pension funds incl. BPOPF — see Phase 2 entry)</t>
        </is>
      </c>
      <c r="E18" s="16" t="inlineStr">
        <is>
          <t>Include</t>
        </is>
      </c>
      <c r="F18" s="16" t="inlineStr">
        <is>
          <t>Include</t>
        </is>
      </c>
      <c r="G18" s="16" t="inlineStr">
        <is>
          <t>Column H identifies a named African PF/SWF, a named cohort, or the allocator itself is an African SWF/PF vehicle.</t>
        </is>
      </c>
      <c r="H18" s="16" t="n"/>
    </row>
    <row r="19" ht="45" customHeight="1" s="26">
      <c r="A19" s="16" t="inlineStr">
        <is>
          <t>Funds &amp; LP Co-Investors</t>
        </is>
      </c>
      <c r="B19" s="16" t="n">
        <v>22</v>
      </c>
      <c r="C19" s="16" t="inlineStr">
        <is>
          <t>Mediterrania Capital II / III / IV</t>
        </is>
      </c>
      <c r="D19" s="16" t="inlineStr">
        <is>
          <t>CDG Morocco (historical LP)</t>
        </is>
      </c>
      <c r="E19" s="16" t="inlineStr">
        <is>
          <t>Include</t>
        </is>
      </c>
      <c r="F19" s="16" t="inlineStr">
        <is>
          <t>Include</t>
        </is>
      </c>
      <c r="G19" s="16" t="inlineStr">
        <is>
          <t>Column H identifies a named African PF/SWF, a named cohort, or the allocator itself is an African SWF/PF vehicle.</t>
        </is>
      </c>
      <c r="H19" s="16" t="n"/>
    </row>
    <row r="20" ht="30" customHeight="1" s="26">
      <c r="A20" s="16" t="inlineStr">
        <is>
          <t>Funds &amp; LP Co-Investors</t>
        </is>
      </c>
      <c r="B20" s="16" t="n">
        <v>23</v>
      </c>
      <c r="C20" s="16" t="inlineStr">
        <is>
          <t>BluePeak Private Capital Fund II</t>
        </is>
      </c>
      <c r="D20" s="16" t="inlineStr">
        <is>
          <t>Not publicly named</t>
        </is>
      </c>
      <c r="E20" s="16" t="inlineStr">
        <is>
          <t>Exclude</t>
        </is>
      </c>
      <c r="F20" s="16" t="inlineStr">
        <is>
          <t>Excluded - insufficient actual African PF/SWF evidence</t>
        </is>
      </c>
      <c r="G20" s="16" t="inlineStr">
        <is>
          <t>First-close releases identify European DFIs only: BII, FMO, Swedfund and SIFEM; no African PF/SWF LP.</t>
        </is>
      </c>
      <c r="H20" s="16" t="inlineStr">
        <is>
          <t>https://sifem.ch/sifem-invests-in-bluepeak-fund-ii/ ; https://www.fmo.nl/news-detail/6cae1491-d8e7-4b1e-924a-fd5f01b4bd08/european-dfis-invest-in-bluepeak-private-capital-fund-ii-to-boost-jobs-resilience-and-private-sector-growth</t>
        </is>
      </c>
    </row>
    <row r="21" ht="45" customHeight="1" s="26">
      <c r="A21" s="16" t="inlineStr">
        <is>
          <t>Funds &amp; LP Co-Investors</t>
        </is>
      </c>
      <c r="B21" s="16" t="n">
        <v>24</v>
      </c>
      <c r="C21" s="16" t="inlineStr">
        <is>
          <t>East Africa Growth Holdings (EAGH)</t>
        </is>
      </c>
      <c r="D21" s="16" t="inlineStr">
        <is>
          <t>Not publicly named</t>
        </is>
      </c>
      <c r="E21" s="16" t="inlineStr">
        <is>
          <t>Exclude</t>
        </is>
      </c>
      <c r="F21" s="16" t="inlineStr">
        <is>
          <t>Excluded - insufficient actual African PF/SWF evidence</t>
        </is>
      </c>
      <c r="G21" s="16" t="inlineStr">
        <is>
          <t>Vehicle evidence identifies AfricInvest/FMO/Norfund and I&amp;M transaction context, not an African PF/SWF LP.</t>
        </is>
      </c>
      <c r="H21" s="16" t="n"/>
    </row>
    <row r="22" ht="30" customHeight="1" s="26">
      <c r="A22" s="16" t="inlineStr">
        <is>
          <t>Funds &amp; LP Co-Investors</t>
        </is>
      </c>
      <c r="B22" s="16" t="n">
        <v>25</v>
      </c>
      <c r="C22" s="16" t="inlineStr">
        <is>
          <t>AfricInvest FIVE (Financial Inclusion Vehicle)</t>
        </is>
      </c>
      <c r="D22" s="16" t="inlineStr">
        <is>
          <t>CBK Pension Fund Kenya (since Oct 2018 second close)</t>
        </is>
      </c>
      <c r="E22" s="16" t="inlineStr">
        <is>
          <t>Include</t>
        </is>
      </c>
      <c r="F22" s="16" t="inlineStr">
        <is>
          <t>Include</t>
        </is>
      </c>
      <c r="G22" s="16" t="inlineStr">
        <is>
          <t>Column H identifies a named African PF/SWF, a named cohort, or the allocator itself is an African SWF/PF vehicle.</t>
        </is>
      </c>
      <c r="H22" s="16" t="n"/>
    </row>
    <row r="23" ht="30" customHeight="1" s="26">
      <c r="A23" s="16" t="inlineStr">
        <is>
          <t>Funds &amp; LP Co-Investors</t>
        </is>
      </c>
      <c r="B23" s="16" t="n">
        <v>26</v>
      </c>
      <c r="C23" s="16" t="inlineStr">
        <is>
          <t>Aleyo Capital Fund I</t>
        </is>
      </c>
      <c r="D23" s="16" t="inlineStr">
        <is>
          <t>BPOPF (anchor, BWP 500m / USD ~43m)</t>
        </is>
      </c>
      <c r="E23" s="16" t="inlineStr">
        <is>
          <t>Include</t>
        </is>
      </c>
      <c r="F23" s="16" t="inlineStr">
        <is>
          <t>Include</t>
        </is>
      </c>
      <c r="G23" s="16" t="inlineStr">
        <is>
          <t>Column H identifies a named African PF/SWF, a named cohort, or the allocator itself is an African SWF/PF vehicle.</t>
        </is>
      </c>
      <c r="H23" s="16" t="n"/>
    </row>
    <row r="24" ht="30" customHeight="1" s="26">
      <c r="A24" s="16" t="inlineStr">
        <is>
          <t>Funds &amp; LP Co-Investors</t>
        </is>
      </c>
      <c r="B24" s="16" t="n">
        <v>27</v>
      </c>
      <c r="C24" s="16" t="inlineStr">
        <is>
          <t>Africa Lighthouse Capital Fund I</t>
        </is>
      </c>
      <c r="D24" s="16" t="inlineStr">
        <is>
          <t>BPOPF (anchor, BWP 500m / USD ~43m)</t>
        </is>
      </c>
      <c r="E24" s="16" t="inlineStr">
        <is>
          <t>Include</t>
        </is>
      </c>
      <c r="F24" s="16" t="inlineStr">
        <is>
          <t>Include</t>
        </is>
      </c>
      <c r="G24" s="16" t="inlineStr">
        <is>
          <t>Column H identifies a named African PF/SWF, a named cohort, or the allocator itself is an African SWF/PF vehicle.</t>
        </is>
      </c>
      <c r="H24" s="16" t="n"/>
    </row>
    <row r="25" ht="30" customHeight="1" s="26">
      <c r="A25" s="16" t="inlineStr">
        <is>
          <t>Funds &amp; LP Co-Investors</t>
        </is>
      </c>
      <c r="B25" s="16" t="n">
        <v>28</v>
      </c>
      <c r="C25" s="16" t="inlineStr">
        <is>
          <t>Africa50 (general)</t>
        </is>
      </c>
      <c r="D25" s="16" t="inlineStr">
        <is>
          <t>PIC SA (USD 40m equity, April 2025); 31+ African government shareholders</t>
        </is>
      </c>
      <c r="E25" s="16" t="inlineStr">
        <is>
          <t>Include</t>
        </is>
      </c>
      <c r="F25" s="16" t="inlineStr">
        <is>
          <t>Include</t>
        </is>
      </c>
      <c r="G25" s="16" t="inlineStr">
        <is>
          <t>Column H identifies a named African PF/SWF, a named cohort, or the allocator itself is an African SWF/PF vehicle.</t>
        </is>
      </c>
      <c r="H25" s="16" t="n"/>
    </row>
    <row r="26" ht="30" customHeight="1" s="26">
      <c r="A26" s="16" t="inlineStr">
        <is>
          <t>Funds &amp; LP Co-Investors</t>
        </is>
      </c>
      <c r="B26" s="16" t="n">
        <v>29</v>
      </c>
      <c r="C26" s="16" t="inlineStr">
        <is>
          <t>Africa50 Infrastructure Acceleration Fund (IAF)</t>
        </is>
      </c>
      <c r="D26" s="16" t="inlineStr">
        <is>
          <t>NSIA Nigeria, CDC Sénégal, CDC Benin, CNSS Togo, CDG Invest Morocco</t>
        </is>
      </c>
      <c r="E26" s="16" t="inlineStr">
        <is>
          <t>Include</t>
        </is>
      </c>
      <c r="F26" s="16" t="inlineStr">
        <is>
          <t>Include</t>
        </is>
      </c>
      <c r="G26" s="16" t="inlineStr">
        <is>
          <t>Column H identifies a named African PF/SWF, a named cohort, or the allocator itself is an African SWF/PF vehicle.</t>
        </is>
      </c>
      <c r="H26" s="16" t="n"/>
    </row>
    <row r="27" ht="30" customHeight="1" s="26">
      <c r="A27" s="16" t="inlineStr">
        <is>
          <t>Funds &amp; LP Co-Investors</t>
        </is>
      </c>
      <c r="B27" s="16" t="n">
        <v>30</v>
      </c>
      <c r="C27" s="16" t="inlineStr">
        <is>
          <t>Africa Finance Corporation (AFC) — equity shareholders</t>
        </is>
      </c>
      <c r="D27" s="16" t="inlineStr">
        <is>
          <t>PIC SA (USD 100m, 2022), Seychelles Pension Fund, Mauritius NPF + NSF, GIIF Ghana, CNPS Cameroon, CDC Gabon, Côte d'Ivoire, Sierra Leone, Egypt (2024), Rawbank DRC</t>
        </is>
      </c>
      <c r="E27" s="16" t="inlineStr">
        <is>
          <t>Include</t>
        </is>
      </c>
      <c r="F27" s="16" t="inlineStr">
        <is>
          <t>Include</t>
        </is>
      </c>
      <c r="G27" s="16" t="inlineStr">
        <is>
          <t>Column H identifies a named African PF/SWF, a named cohort, or the allocator itself is an African SWF/PF vehicle.</t>
        </is>
      </c>
      <c r="H27" s="16" t="n"/>
    </row>
    <row r="28" ht="60" customHeight="1" s="26">
      <c r="A28" s="16" t="inlineStr">
        <is>
          <t>Funds &amp; LP Co-Investors</t>
        </is>
      </c>
      <c r="B28" s="16" t="n">
        <v>31</v>
      </c>
      <c r="C28" s="16" t="inlineStr">
        <is>
          <t>Pembani Remgro Infrastructure Fund</t>
        </is>
      </c>
      <c r="D28" s="16" t="inlineStr">
        <is>
          <t>PIC South Africa (anchor, ~USD 250m)</t>
        </is>
      </c>
      <c r="E28" s="16" t="inlineStr">
        <is>
          <t>Include</t>
        </is>
      </c>
      <c r="F28" s="16" t="inlineStr">
        <is>
          <t>Include</t>
        </is>
      </c>
      <c r="G28" s="16" t="inlineStr">
        <is>
          <t>Column H identifies a named African PF/SWF, a named cohort, or the allocator itself is an African SWF/PF vehicle.</t>
        </is>
      </c>
      <c r="H28" s="16" t="n"/>
    </row>
    <row r="29" ht="30" customHeight="1" s="26">
      <c r="A29" s="16" t="inlineStr">
        <is>
          <t>Funds &amp; LP Co-Investors</t>
        </is>
      </c>
      <c r="B29" s="16" t="n">
        <v>32</v>
      </c>
      <c r="C29" s="16" t="inlineStr">
        <is>
          <t>Convergence Partners Communications Infrastructure Fund</t>
        </is>
      </c>
      <c r="D29" s="16" t="inlineStr">
        <is>
          <t>PIC South Africa (historical)</t>
        </is>
      </c>
      <c r="E29" s="16" t="inlineStr">
        <is>
          <t>Include</t>
        </is>
      </c>
      <c r="F29" s="16" t="inlineStr">
        <is>
          <t>Include</t>
        </is>
      </c>
      <c r="G29" s="16" t="inlineStr">
        <is>
          <t>Column H identifies a named African PF/SWF, a named cohort, or the allocator itself is an African SWF/PF vehicle.</t>
        </is>
      </c>
      <c r="H29" s="16" t="n"/>
    </row>
    <row r="30" ht="30" customHeight="1" s="26">
      <c r="A30" s="16" t="inlineStr">
        <is>
          <t>Funds &amp; LP Co-Investors</t>
        </is>
      </c>
      <c r="B30" s="16" t="n">
        <v>33</v>
      </c>
      <c r="C30" s="16" t="inlineStr">
        <is>
          <t>Wessal Capital (SWF joint investment vehicle)</t>
        </is>
      </c>
      <c r="D30" s="16" t="inlineStr">
        <is>
          <t>Ithmar Capital (Morocco SWF)</t>
        </is>
      </c>
      <c r="E30" s="16" t="inlineStr">
        <is>
          <t>Include</t>
        </is>
      </c>
      <c r="F30" s="16" t="inlineStr">
        <is>
          <t>Include</t>
        </is>
      </c>
      <c r="G30" s="16" t="inlineStr">
        <is>
          <t>Retain as a direct SWF joint investment vehicle/platform rather than a conventional GP-managed fund. Ithmar names Wessal as an investment vehicle and identifies Wessal Bouregreg and Wessal Casa-Port as launched projects.</t>
        </is>
      </c>
      <c r="H30" s="16" t="inlineStr">
        <is>
          <t>https://www.ithmar.gov.ma/en/our-portfolio/</t>
        </is>
      </c>
    </row>
    <row r="31" ht="60" customHeight="1" s="26">
      <c r="A31" s="16" t="inlineStr">
        <is>
          <t>Funds &amp; LP Co-Investors</t>
        </is>
      </c>
      <c r="B31" s="16" t="n">
        <v>34</v>
      </c>
      <c r="C31" s="16" t="inlineStr">
        <is>
          <t>Mohammed VI Fund for Investment</t>
        </is>
      </c>
      <c r="D31" s="16" t="inlineStr">
        <is>
          <t>Mohammed VI Fund itself (the allocator)</t>
        </is>
      </c>
      <c r="E31" s="16" t="inlineStr">
        <is>
          <t>Include</t>
        </is>
      </c>
      <c r="F31" s="16" t="inlineStr">
        <is>
          <t>Include</t>
        </is>
      </c>
      <c r="G31" s="16" t="inlineStr">
        <is>
          <t>Column H identifies a named African PF/SWF, a named cohort, or the allocator itself is an African SWF/PF vehicle.</t>
        </is>
      </c>
      <c r="H31" s="16" t="n"/>
    </row>
    <row r="32" ht="30" customHeight="1" s="26">
      <c r="A32" s="16" t="inlineStr">
        <is>
          <t>Funds &amp; LP Co-Investors</t>
        </is>
      </c>
      <c r="B32" s="16" t="n">
        <v>35</v>
      </c>
      <c r="C32" s="16" t="inlineStr">
        <is>
          <t>Nigeria Infrastructure Fund (NIF, NSIA sub-fund)</t>
        </is>
      </c>
      <c r="D32" s="16" t="inlineStr">
        <is>
          <t>NSIA (the SWF itself)</t>
        </is>
      </c>
      <c r="E32" s="16" t="inlineStr">
        <is>
          <t>Include</t>
        </is>
      </c>
      <c r="F32" s="16" t="inlineStr">
        <is>
          <t>Include</t>
        </is>
      </c>
      <c r="G32" s="16" t="inlineStr">
        <is>
          <t>Column H identifies a named African PF/SWF, a named cohort, or the allocator itself is an African SWF/PF vehicle.</t>
        </is>
      </c>
      <c r="H32" s="16" t="n"/>
    </row>
    <row r="33" ht="30" customHeight="1" s="26">
      <c r="A33" s="16" t="inlineStr">
        <is>
          <t>Funds &amp; LP Co-Investors</t>
        </is>
      </c>
      <c r="B33" s="16" t="n">
        <v>36</v>
      </c>
      <c r="C33" s="16" t="inlineStr">
        <is>
          <t>TSFE-ADQ Egyptian Health Platform</t>
        </is>
      </c>
      <c r="D33" s="16" t="inlineStr">
        <is>
          <t>TSFE (the SWF itself)</t>
        </is>
      </c>
      <c r="E33" s="16" t="inlineStr">
        <is>
          <t>Include</t>
        </is>
      </c>
      <c r="F33" s="16" t="inlineStr">
        <is>
          <t>Include</t>
        </is>
      </c>
      <c r="G33" s="16" t="inlineStr">
        <is>
          <t>Column H identifies a named African PF/SWF, a named cohort, or the allocator itself is an African SWF/PF vehicle.</t>
        </is>
      </c>
      <c r="H33" s="16" t="n"/>
    </row>
    <row r="34" ht="30" customHeight="1" s="26">
      <c r="A34" s="16" t="inlineStr">
        <is>
          <t>Funds &amp; LP Co-Investors</t>
        </is>
      </c>
      <c r="B34" s="16" t="n">
        <v>37</v>
      </c>
      <c r="C34" s="16" t="inlineStr">
        <is>
          <t>KEPFIC pooled mandates (Kenya)</t>
        </is>
      </c>
      <c r="D34" s="16" t="inlineStr">
        <is>
          <t>24 Kenyan retirement benefit funds (named on KEPFIC site); collective ~1/3 of total Kenyan pension AUM</t>
        </is>
      </c>
      <c r="E34" s="16" t="inlineStr">
        <is>
          <t>Move to Pipeline &amp; Mandates</t>
        </is>
      </c>
      <c r="F34" s="16" t="inlineStr">
        <is>
          <t>Moved - aggregate pooled mandate</t>
        </is>
      </c>
      <c r="G34" s="16" t="inlineStr">
        <is>
          <t>Aggregate pooled mandate / consortium archetype, not a conventional fund vehicle LP row. Kept out of Fund Vehicles and Commitments Database to avoid treating a mandate platform as a fund commitment.</t>
        </is>
      </c>
      <c r="H34" s="16" t="inlineStr">
        <is>
          <t>https://www.ifc.org/en/stories/2023/pooling-pensions-in-kenya ; https://www.midaadvisors.com/advisory-firm-financing-the-development-of-critical-infrastructure-in-kenya-with-local-institutional-capital</t>
        </is>
      </c>
    </row>
    <row r="35" ht="45" customHeight="1" s="26">
      <c r="A35" s="16" t="inlineStr">
        <is>
          <t>Funds &amp; LP Co-Investors</t>
        </is>
      </c>
      <c r="B35" s="16" t="n">
        <v>38</v>
      </c>
      <c r="C35" s="16" t="inlineStr">
        <is>
          <t>Sahel Capital Fund for Agricultural Finance in Nigeria (FAFIN)</t>
        </is>
      </c>
      <c r="D35" s="16" t="inlineStr">
        <is>
          <t>NSIA Nigeria</t>
        </is>
      </c>
      <c r="E35" s="16" t="inlineStr">
        <is>
          <t>Include</t>
        </is>
      </c>
      <c r="F35" s="16" t="inlineStr">
        <is>
          <t>Include</t>
        </is>
      </c>
      <c r="G35" s="16" t="inlineStr">
        <is>
          <t>Column H identifies a named African PF/SWF, a named cohort, or the allocator itself is an African SWF/PF vehicle.</t>
        </is>
      </c>
      <c r="H35" s="16" t="n"/>
    </row>
    <row r="36" ht="30" customHeight="1" s="26">
      <c r="A36" s="16" t="inlineStr">
        <is>
          <t>Funds &amp; LP Co-Investors</t>
        </is>
      </c>
      <c r="B36" s="16" t="n">
        <v>39</v>
      </c>
      <c r="C36" s="16" t="inlineStr">
        <is>
          <t>Sahel Agribusiness Private Debt Fund</t>
        </is>
      </c>
      <c r="D36" s="16" t="inlineStr">
        <is>
          <t>Targets Nigerian PFAs + insurers as core LPs; not individually disclosed</t>
        </is>
      </c>
      <c r="E36" s="16" t="inlineStr">
        <is>
          <t>Exclude</t>
        </is>
      </c>
      <c r="F36" s="16" t="inlineStr">
        <is>
          <t>Excluded - insufficient actual African PF/SWF evidence</t>
        </is>
      </c>
      <c r="G36" s="16" t="inlineStr">
        <is>
          <t>Launch evidence says subscription is open to/targeting qualified institutional investors including pension funds; no actual PFA allocation disclosed.</t>
        </is>
      </c>
      <c r="H36" s="16" t="inlineStr">
        <is>
          <t>https://www.ecofinagency.com/news-finances/2502-53253-nigerian-investment-firm-sahel-capital-launches-55-million-fund-to-narrow-farm-finance-gap</t>
        </is>
      </c>
    </row>
    <row r="37" ht="30" customHeight="1" s="26">
      <c r="A37" s="16" t="inlineStr">
        <is>
          <t>Funds &amp; LP Co-Investors</t>
        </is>
      </c>
      <c r="B37" s="16" t="n">
        <v>41</v>
      </c>
      <c r="C37" s="16" t="inlineStr">
        <is>
          <t>Adenia Africa Entrepreneurial Fund (AEF)</t>
        </is>
      </c>
      <c r="D37" s="16" t="inlineStr">
        <is>
          <t>Not individually named; possibly some Kenyan/Ghanaian PF cohort</t>
        </is>
      </c>
      <c r="E37" s="16" t="inlineStr">
        <is>
          <t>Exclude</t>
        </is>
      </c>
      <c r="F37" s="16" t="inlineStr">
        <is>
          <t>Excluded - insufficient actual African PF/SWF evidence</t>
        </is>
      </c>
      <c r="G37" s="16" t="inlineStr">
        <is>
          <t>No public African PF/SWF LP identified for AEF; available DFI disclosures name Proparco/BIO/AfDB-style support rather than African pension/SWF LPs.</t>
        </is>
      </c>
      <c r="H37" s="16" t="n"/>
    </row>
    <row r="38" ht="45" customHeight="1" s="26">
      <c r="A38" s="16" t="inlineStr">
        <is>
          <t>Funds &amp; LP Co-Investors</t>
        </is>
      </c>
      <c r="B38" s="16" t="n">
        <v>42</v>
      </c>
      <c r="C38" s="16" t="inlineStr">
        <is>
          <t>Rwanda SME Growth Fund</t>
        </is>
      </c>
      <c r="D38" s="16" t="inlineStr">
        <is>
          <t>RSSB (Rwanda Social Security Board) — USD 30m anchor + USD 3m TA seed</t>
        </is>
      </c>
      <c r="E38" s="16" t="inlineStr">
        <is>
          <t>Include</t>
        </is>
      </c>
      <c r="F38" s="16" t="inlineStr">
        <is>
          <t>Include</t>
        </is>
      </c>
      <c r="G38" s="16" t="inlineStr">
        <is>
          <t>Column H identifies a named African PF/SWF, a named cohort, or the allocator itself is an African SWF/PF vehicle.</t>
        </is>
      </c>
      <c r="H38" s="16" t="n"/>
    </row>
    <row r="39" ht="30" customHeight="1" s="26">
      <c r="A39" s="16" t="inlineStr">
        <is>
          <t>Funds &amp; LP Co-Investors</t>
        </is>
      </c>
      <c r="B39" s="16" t="n">
        <v>43</v>
      </c>
      <c r="C39" s="16" t="inlineStr">
        <is>
          <t>AOFSA pooled infrastructure mandates (South Africa)</t>
        </is>
      </c>
      <c r="D39" s="16" t="inlineStr">
        <is>
          <t>GEPF; EPPF; Telkom Retirement Fund; Transnet Retirement Fund; National Fund for Municipal Workers; KZN Joint Municipal Pension Fund (NJMPF); KZN Municipal Pension Fund; Motor Industry Retirement Fund (named); 4-7 additional founding members not individually named</t>
        </is>
      </c>
      <c r="E39" s="16" t="inlineStr">
        <is>
          <t>Move to Pipeline &amp; Mandates</t>
        </is>
      </c>
      <c r="F39" s="16" t="inlineStr">
        <is>
          <t>Moved - aggregate pooled mandate</t>
        </is>
      </c>
      <c r="G39" s="16" t="inlineStr">
        <is>
          <t>Aggregate pooled mandate / consortium archetype, not a conventional fund vehicle LP row. Kept out of Fund Vehicles and Commitments Database to avoid treating a mandate platform as a fund commitment.</t>
        </is>
      </c>
      <c r="H39" s="16" t="inlineStr">
        <is>
          <t>https://www.engineeringnews.co.za/article/aofsa-exceeds-infrastructure-investment-target-as-it-marks-first-anniversary-2022-11-21 ; https://www.midaadvisors.com/advisory-firm-what-we-do/institutional-investors-capacity-development</t>
        </is>
      </c>
    </row>
    <row r="40" ht="30" customHeight="1" s="26">
      <c r="A40" s="16" t="inlineStr">
        <is>
          <t>Funds &amp; LP Co-Investors</t>
        </is>
      </c>
      <c r="B40" s="16" t="n">
        <v>44</v>
      </c>
      <c r="C40" s="16" t="inlineStr">
        <is>
          <t>Mirepa Capital SME Fund I</t>
        </is>
      </c>
      <c r="D40" s="16" t="inlineStr">
        <is>
          <t>Petra Trust; Axis Pensions; multiple schemes via CAL Asset Management Company (CAMCOL); Venture Capital Trust Fund (VCTF)</t>
        </is>
      </c>
      <c r="E40" s="16" t="inlineStr">
        <is>
          <t>Include</t>
        </is>
      </c>
      <c r="F40" s="16" t="inlineStr">
        <is>
          <t>Include</t>
        </is>
      </c>
      <c r="G40" s="16" t="inlineStr">
        <is>
          <t>Column H identifies a named African PF/SWF, a named cohort, or the allocator itself is an African SWF/PF vehicle.</t>
        </is>
      </c>
      <c r="H40" s="16" t="n"/>
    </row>
    <row r="41" ht="75" customHeight="1" s="26">
      <c r="A41" s="16" t="inlineStr">
        <is>
          <t>Funds &amp; LP Co-Investors</t>
        </is>
      </c>
      <c r="B41" s="16" t="n">
        <v>45</v>
      </c>
      <c r="C41" s="16" t="inlineStr">
        <is>
          <t>Injaro Ghana Venture Capital Fund (IGVCF)</t>
        </is>
      </c>
      <c r="D41" s="16" t="inlineStr">
        <is>
          <t>Specific names not individually disclosed</t>
        </is>
      </c>
      <c r="E41" s="16" t="inlineStr">
        <is>
          <t>Include</t>
        </is>
      </c>
      <c r="F41" s="16" t="inlineStr">
        <is>
          <t>Include</t>
        </is>
      </c>
      <c r="G41" s="16" t="inlineStr">
        <is>
          <t>Column H identifies a named African PF/SWF, a named cohort, or the allocator itself is an African SWF/PF vehicle.</t>
        </is>
      </c>
      <c r="H41" s="16" t="n"/>
    </row>
    <row r="42" ht="45" customHeight="1" s="26">
      <c r="A42" s="16" t="inlineStr">
        <is>
          <t>Funds &amp; LP Co-Investors</t>
        </is>
      </c>
      <c r="B42" s="16" t="n">
        <v>46</v>
      </c>
      <c r="C42" s="16" t="inlineStr">
        <is>
          <t>NSSF Uganda Fund of Funds (planned)</t>
        </is>
      </c>
      <c r="D42" s="16" t="inlineStr">
        <is>
          <t>NSSF Uganda anchor (≥USD 15m + target other regional institutional investors)</t>
        </is>
      </c>
      <c r="E42" s="16" t="inlineStr">
        <is>
          <t>Exclude</t>
        </is>
      </c>
      <c r="F42" s="16" t="inlineStr">
        <is>
          <t>Excluded - insufficient actual African PF/SWF evidence</t>
        </is>
      </c>
      <c r="G42" s="16" t="inlineStr">
        <is>
          <t>Planned/prospective fund of funds, not a closed commitment as of audit date.</t>
        </is>
      </c>
      <c r="H42" s="16" t="n"/>
    </row>
    <row r="43" ht="30" customHeight="1" s="26">
      <c r="A43" s="16" t="inlineStr">
        <is>
          <t>Commitments Database</t>
        </is>
      </c>
      <c r="B43" s="16" t="n"/>
      <c r="C43" s="16" t="inlineStr">
        <is>
          <t>SA infrastructure mandates via AOFSA</t>
        </is>
      </c>
      <c r="D43" s="16" t="inlineStr">
        <is>
          <t>KZN Municipal Pension Fund</t>
        </is>
      </c>
      <c r="E43" s="16" t="inlineStr">
        <is>
          <t>Exclude</t>
        </is>
      </c>
      <c r="F43" s="16" t="inlineStr">
        <is>
          <t>Excluded - mandate/member/planned evidence only</t>
        </is>
      </c>
      <c r="G43" s="16" t="inlineStr">
        <is>
          <t>Removed from commitments because the row evidenced membership, eligibility, MoU, expected follow-on, or planned allocation rather than an actual allocator-to-vehicle commitment.</t>
        </is>
      </c>
      <c r="H43" s="16" t="n"/>
    </row>
    <row r="44" ht="30" customHeight="1" s="26">
      <c r="A44" s="16" t="inlineStr">
        <is>
          <t>Commitments Database</t>
        </is>
      </c>
      <c r="B44" s="16" t="n"/>
      <c r="C44" s="16" t="inlineStr">
        <is>
          <t>KEPFIC infrastructure + alts mandates</t>
        </is>
      </c>
      <c r="D44" s="16" t="inlineStr">
        <is>
          <t>KenGen Staff Retirement Benefits Scheme</t>
        </is>
      </c>
      <c r="E44" s="16" t="inlineStr">
        <is>
          <t>Exclude</t>
        </is>
      </c>
      <c r="F44" s="16" t="inlineStr">
        <is>
          <t>Excluded - mandate/member/planned evidence only</t>
        </is>
      </c>
      <c r="G44" s="16" t="inlineStr">
        <is>
          <t>Removed from commitments because the row evidenced membership, eligibility, MoU, expected follow-on, or planned allocation rather than an actual allocator-to-vehicle commitment.</t>
        </is>
      </c>
      <c r="H44" s="16" t="n"/>
    </row>
    <row r="45" ht="45" customHeight="1" s="26">
      <c r="A45" s="16" t="inlineStr">
        <is>
          <t>Commitments Database</t>
        </is>
      </c>
      <c r="B45" s="16" t="n"/>
      <c r="C45" s="16" t="inlineStr">
        <is>
          <t>KEPFIC infrastructure + alts mandates</t>
        </is>
      </c>
      <c r="D45" s="16" t="inlineStr">
        <is>
          <t>Kenya Pipeline Company Staff Retirement Benefits Scheme</t>
        </is>
      </c>
      <c r="E45" s="16" t="inlineStr">
        <is>
          <t>Exclude</t>
        </is>
      </c>
      <c r="F45" s="16" t="inlineStr">
        <is>
          <t>Excluded - mandate/member/planned evidence only</t>
        </is>
      </c>
      <c r="G45" s="16" t="inlineStr">
        <is>
          <t>Removed from commitments because the row evidenced membership, eligibility, MoU, expected follow-on, or planned allocation rather than an actual allocator-to-vehicle commitment.</t>
        </is>
      </c>
      <c r="H45" s="16" t="n"/>
    </row>
    <row r="46" ht="45" customHeight="1" s="26">
      <c r="A46" s="16" t="inlineStr">
        <is>
          <t>Commitments Database</t>
        </is>
      </c>
      <c r="B46" s="16" t="n"/>
      <c r="C46" s="16" t="inlineStr">
        <is>
          <t>KEPFIC infrastructure + alts mandates</t>
        </is>
      </c>
      <c r="D46" s="16" t="inlineStr">
        <is>
          <t>Kenya Revenue Authority (KRA) Staff Pension Scheme</t>
        </is>
      </c>
      <c r="E46" s="16" t="inlineStr">
        <is>
          <t>Exclude</t>
        </is>
      </c>
      <c r="F46" s="16" t="inlineStr">
        <is>
          <t>Excluded - mandate/member/planned evidence only</t>
        </is>
      </c>
      <c r="G46" s="16" t="inlineStr">
        <is>
          <t>Removed from commitments because the row evidenced membership, eligibility, MoU, expected follow-on, or planned allocation rather than an actual allocator-to-vehicle commitment.</t>
        </is>
      </c>
      <c r="H46" s="16" t="n"/>
    </row>
    <row r="47" ht="45" customHeight="1" s="26">
      <c r="A47" s="16" t="inlineStr">
        <is>
          <t>Commitments Database</t>
        </is>
      </c>
      <c r="B47" s="16" t="n"/>
      <c r="C47" s="16" t="inlineStr">
        <is>
          <t>SA infrastructure mandates via AOFSA</t>
        </is>
      </c>
      <c r="D47" s="16" t="inlineStr">
        <is>
          <t>KwaZulu-Natal Joint Municipal Pension Fund (NJMPF)</t>
        </is>
      </c>
      <c r="E47" s="16" t="inlineStr">
        <is>
          <t>Exclude</t>
        </is>
      </c>
      <c r="F47" s="16" t="inlineStr">
        <is>
          <t>Excluded - mandate/member/planned evidence only</t>
        </is>
      </c>
      <c r="G47" s="16" t="inlineStr">
        <is>
          <t>Removed from commitments because the row evidenced membership, eligibility, MoU, expected follow-on, or planned allocation rather than an actual allocator-to-vehicle commitment.</t>
        </is>
      </c>
      <c r="H47" s="16" t="n"/>
    </row>
    <row r="48" ht="45" customHeight="1" s="26">
      <c r="A48" s="16" t="inlineStr">
        <is>
          <t>Commitments Database</t>
        </is>
      </c>
      <c r="B48" s="16" t="n"/>
      <c r="C48" s="16" t="inlineStr">
        <is>
          <t>SA infrastructure mandates via AOFSA</t>
        </is>
      </c>
      <c r="D48" s="16" t="inlineStr">
        <is>
          <t>Motor Industry Retirement Fund (MIRF)</t>
        </is>
      </c>
      <c r="E48" s="16" t="inlineStr">
        <is>
          <t>Exclude</t>
        </is>
      </c>
      <c r="F48" s="16" t="inlineStr">
        <is>
          <t>Excluded - mandate/member/planned evidence only</t>
        </is>
      </c>
      <c r="G48" s="16" t="inlineStr">
        <is>
          <t>Removed from commitments because the row evidenced membership, eligibility, MoU, expected follow-on, or planned allocation rather than an actual allocator-to-vehicle commitment.</t>
        </is>
      </c>
      <c r="H48" s="16" t="n"/>
    </row>
    <row r="49" ht="45" customHeight="1" s="26">
      <c r="A49" s="16" t="inlineStr">
        <is>
          <t>Commitments Database</t>
        </is>
      </c>
      <c r="B49" s="16" t="n"/>
      <c r="C49" s="16" t="inlineStr">
        <is>
          <t>ARM-Harith Climate and Transition Infrastructure Fund (ACT Fund)</t>
        </is>
      </c>
      <c r="D49" s="16" t="inlineStr">
        <is>
          <t>Multiple Nigerian PFAs (expected)</t>
        </is>
      </c>
      <c r="E49" s="16" t="inlineStr">
        <is>
          <t>Exclude</t>
        </is>
      </c>
      <c r="F49" s="16" t="inlineStr">
        <is>
          <t>Excluded - mandate/member/planned evidence only</t>
        </is>
      </c>
      <c r="G49" s="16" t="inlineStr">
        <is>
          <t>Removed from commitments because the row evidenced membership, eligibility, MoU, expected follow-on, or planned allocation rather than an actual allocator-to-vehicle commitment.</t>
        </is>
      </c>
      <c r="H49" s="16" t="n"/>
    </row>
    <row r="50" ht="45" customHeight="1" s="26">
      <c r="A50" s="16" t="inlineStr">
        <is>
          <t>Commitments Database</t>
        </is>
      </c>
      <c r="B50" s="16" t="n"/>
      <c r="C50" s="16" t="inlineStr">
        <is>
          <t>Sahel Agribusiness Private Debt Fund</t>
        </is>
      </c>
      <c r="D50" s="16" t="inlineStr">
        <is>
          <t>Multiple Nigerian institutional investors (incl. PFAs)</t>
        </is>
      </c>
      <c r="E50" s="16" t="inlineStr">
        <is>
          <t>Exclude</t>
        </is>
      </c>
      <c r="F50" s="16" t="inlineStr">
        <is>
          <t>Excluded - mandate/member/planned evidence only</t>
        </is>
      </c>
      <c r="G50" s="16" t="inlineStr">
        <is>
          <t>Removed from commitments because the row evidenced membership, eligibility, MoU, expected follow-on, or planned allocation rather than an actual allocator-to-vehicle commitment.</t>
        </is>
      </c>
      <c r="H50" s="16" t="n"/>
    </row>
    <row r="51" ht="45" customHeight="1" s="26">
      <c r="A51" s="16" t="inlineStr">
        <is>
          <t>Commitments Database</t>
        </is>
      </c>
      <c r="B51" s="16" t="n"/>
      <c r="C51" s="16" t="inlineStr">
        <is>
          <t>NSSF Uganda Fund of Funds (planned)</t>
        </is>
      </c>
      <c r="D51" s="16" t="inlineStr">
        <is>
          <t>NSSF Uganda</t>
        </is>
      </c>
      <c r="E51" s="16" t="inlineStr">
        <is>
          <t>Exclude</t>
        </is>
      </c>
      <c r="F51" s="16" t="inlineStr">
        <is>
          <t>Excluded - mandate/member/planned evidence only</t>
        </is>
      </c>
      <c r="G51" s="16" t="inlineStr">
        <is>
          <t>Removed from commitments because the row evidenced membership, eligibility, MoU, expected follow-on, or planned allocation rather than an actual allocator-to-vehicle commitment.</t>
        </is>
      </c>
      <c r="H51" s="16" t="n"/>
    </row>
    <row r="52" ht="45" customHeight="1" s="26">
      <c r="A52" s="16" t="inlineStr">
        <is>
          <t>Commitments Database</t>
        </is>
      </c>
      <c r="B52" s="16" t="n"/>
      <c r="C52" s="16" t="inlineStr">
        <is>
          <t>SA infrastructure mandates via AOFSA</t>
        </is>
      </c>
      <c r="D52" s="16" t="inlineStr">
        <is>
          <t>National Fund for Municipal Workers (NFMW)</t>
        </is>
      </c>
      <c r="E52" s="16" t="inlineStr">
        <is>
          <t>Exclude</t>
        </is>
      </c>
      <c r="F52" s="16" t="inlineStr">
        <is>
          <t>Excluded - mandate/member/planned evidence only</t>
        </is>
      </c>
      <c r="G52" s="16" t="inlineStr">
        <is>
          <t>Removed from commitments because the row evidenced membership, eligibility, MoU, expected follow-on, or planned allocation rather than an actual allocator-to-vehicle commitment.</t>
        </is>
      </c>
      <c r="H52" s="16" t="n"/>
    </row>
    <row r="53" ht="45" customHeight="1" s="26">
      <c r="A53" s="16" t="inlineStr">
        <is>
          <t>Commitments Database</t>
        </is>
      </c>
      <c r="B53" s="16" t="n"/>
      <c r="C53" s="16" t="inlineStr">
        <is>
          <t>KEPFIC infrastructure + alts mandates</t>
        </is>
      </c>
      <c r="D53" s="16" t="inlineStr">
        <is>
          <t>Safaricom Staff Pension Scheme</t>
        </is>
      </c>
      <c r="E53" s="16" t="inlineStr">
        <is>
          <t>Exclude</t>
        </is>
      </c>
      <c r="F53" s="16" t="inlineStr">
        <is>
          <t>Excluded - mandate/member/planned evidence only</t>
        </is>
      </c>
      <c r="G53" s="16" t="inlineStr">
        <is>
          <t>Removed from commitments because the row evidenced membership, eligibility, MoU, expected follow-on, or planned allocation rather than an actual allocator-to-vehicle commitment.</t>
        </is>
      </c>
      <c r="H53" s="16" t="n"/>
    </row>
    <row r="54" ht="45" customHeight="1" s="26">
      <c r="A54" s="16" t="inlineStr">
        <is>
          <t>Commitments Database</t>
        </is>
      </c>
      <c r="B54" s="16" t="n"/>
      <c r="C54" s="16" t="inlineStr">
        <is>
          <t>Climate / infra mandate</t>
        </is>
      </c>
      <c r="D54" s="16" t="inlineStr">
        <is>
          <t>The Sovereign Fund of Egypt (TSFE)</t>
        </is>
      </c>
      <c r="E54" s="16" t="inlineStr">
        <is>
          <t>Exclude</t>
        </is>
      </c>
      <c r="F54" s="16" t="inlineStr">
        <is>
          <t>Excluded - mandate/member/planned evidence only</t>
        </is>
      </c>
      <c r="G54" s="16" t="inlineStr">
        <is>
          <t>Removed from commitments because the row evidenced membership, eligibility, MoU, expected follow-on, or planned allocation rather than an actual allocator-to-vehicle commitment.</t>
        </is>
      </c>
      <c r="H54" s="16" t="n"/>
    </row>
    <row r="55" ht="45" customHeight="1" s="26">
      <c r="A55" t="inlineStr">
        <is>
          <t>Funds &amp; LP Co-Investors</t>
        </is>
      </c>
      <c r="C55" t="inlineStr">
        <is>
          <t>Africa Food Security Fund (AFSF)</t>
        </is>
      </c>
      <c r="D55" t="inlineStr">
        <is>
          <t>PIC on behalf of GEPF (South Africa)</t>
        </is>
      </c>
      <c r="E55" t="inlineStr">
        <is>
          <t>Include</t>
        </is>
      </c>
      <c r="F55" t="inlineStr">
        <is>
          <t>Include - confirmed African PF/SWF LP</t>
        </is>
      </c>
      <c r="G55" t="inlineStr">
        <is>
          <t>DGGF names PIC on behalf of GEPF as a first-round investor in AFSF alongside DFIs and DGGF; this is confirmed African pension fund involvement in a fund vehicle.</t>
        </is>
      </c>
      <c r="H55" t="inlineStr">
        <is>
          <t>https://english.dggf.nl/latest/news/2019/01/24/zebu-s-africa-food-security-fund-a-dggf-investee-reaches-total-fund-size-of-usd-84-million</t>
        </is>
      </c>
    </row>
    <row r="56" ht="45" customHeight="1" s="26">
      <c r="A56" t="inlineStr">
        <is>
          <t>Funds &amp; LP Co-Investors</t>
        </is>
      </c>
      <c r="B56" t="inlineStr">
        <is>
          <t>added May 2026</t>
        </is>
      </c>
      <c r="C56" t="inlineStr">
        <is>
          <t>Alitheia IDF Fund</t>
        </is>
      </c>
      <c r="D56" t="inlineStr">
        <is>
          <t>NSIA Nigeria</t>
        </is>
      </c>
      <c r="E56" t="inlineStr">
        <is>
          <t>Include</t>
        </is>
      </c>
      <c r="F56" t="inlineStr">
        <is>
          <t>Include</t>
        </is>
      </c>
      <c r="G56" t="inlineStr">
        <is>
          <t>Column H identifies NSIA, an African SWF, as a named LP/sponsor in the vehicle.</t>
        </is>
      </c>
      <c r="H56" t="inlineStr">
        <is>
          <t>https://nsia.com.ng/the-nsia-model-catalyzing-development-through-sustainable-investments/</t>
        </is>
      </c>
    </row>
    <row r="57">
      <c r="A57" t="inlineStr">
        <is>
          <t>Funds &amp; LP Co-Investors</t>
        </is>
      </c>
      <c r="B57" t="inlineStr">
        <is>
          <t>added May 2026</t>
        </is>
      </c>
      <c r="C57" t="inlineStr">
        <is>
          <t>Ingressive Capital Fund / funds</t>
        </is>
      </c>
      <c r="D57" t="inlineStr">
        <is>
          <t>NSIA Nigeria</t>
        </is>
      </c>
      <c r="E57" t="inlineStr">
        <is>
          <t>Include</t>
        </is>
      </c>
      <c r="F57" t="inlineStr">
        <is>
          <t>Include</t>
        </is>
      </c>
      <c r="G57" t="inlineStr">
        <is>
          <t>Column H identifies NSIA, an African SWF, as a named LP/sponsor in the vehicle.</t>
        </is>
      </c>
      <c r="H57" t="inlineStr">
        <is>
          <t>https://nsia.com.ng/the-nsia-model-catalyzing-development-through-sustainable-investments/</t>
        </is>
      </c>
    </row>
    <row r="58">
      <c r="A58" t="inlineStr">
        <is>
          <t>Funds &amp; LP Co-Investors</t>
        </is>
      </c>
      <c r="B58" t="inlineStr">
        <is>
          <t>added May 2026</t>
        </is>
      </c>
      <c r="C58" t="inlineStr">
        <is>
          <t>Verod Growth Fund II</t>
        </is>
      </c>
      <c r="D58" t="inlineStr">
        <is>
          <t>NSIA Nigeria</t>
        </is>
      </c>
      <c r="E58" t="inlineStr">
        <is>
          <t>Include</t>
        </is>
      </c>
      <c r="F58" t="inlineStr">
        <is>
          <t>Include</t>
        </is>
      </c>
      <c r="G58" t="inlineStr">
        <is>
          <t>Column H identifies NSIA, an African SWF, as a named LP/sponsor in the vehicle.</t>
        </is>
      </c>
      <c r="H58" t="inlineStr">
        <is>
          <t>https://nsia.com.ng/the-nsia-model-catalyzing-development-through-sustainable-investments/</t>
        </is>
      </c>
    </row>
    <row r="59">
      <c r="A59" t="inlineStr">
        <is>
          <t>Funds &amp; LP Co-Investors</t>
        </is>
      </c>
      <c r="B59" t="inlineStr">
        <is>
          <t>added May 2026</t>
        </is>
      </c>
      <c r="C59" t="inlineStr">
        <is>
          <t>Verod Growth Fund III</t>
        </is>
      </c>
      <c r="D59" t="inlineStr">
        <is>
          <t>NSIA Nigeria</t>
        </is>
      </c>
      <c r="E59" t="inlineStr">
        <is>
          <t>Include</t>
        </is>
      </c>
      <c r="F59" t="inlineStr">
        <is>
          <t>Include</t>
        </is>
      </c>
      <c r="G59" t="inlineStr">
        <is>
          <t>Column H identifies NSIA, an African SWF, as a named LP/sponsor in the vehicle.</t>
        </is>
      </c>
      <c r="H59" t="inlineStr">
        <is>
          <t>https://nsia.com.ng/the-nsia-model-catalyzing-development-through-sustainable-investments/</t>
        </is>
      </c>
    </row>
    <row r="60">
      <c r="A60" t="inlineStr">
        <is>
          <t>Funds &amp; LP Co-Investors</t>
        </is>
      </c>
      <c r="B60" t="inlineStr">
        <is>
          <t>added May 2026</t>
        </is>
      </c>
      <c r="C60" t="inlineStr">
        <is>
          <t>MedServe oncology and diagnostics expansion</t>
        </is>
      </c>
      <c r="D60" t="inlineStr">
        <is>
          <t>NSIA Nigeria</t>
        </is>
      </c>
      <c r="E60" t="inlineStr">
        <is>
          <t>Include</t>
        </is>
      </c>
      <c r="F60" t="inlineStr">
        <is>
          <t>Include</t>
        </is>
      </c>
      <c r="G60" t="inlineStr">
        <is>
          <t>Column H identifies NSIA, an African SWF, as a named LP/sponsor in the vehicle.</t>
        </is>
      </c>
      <c r="H60" t="inlineStr">
        <is>
          <t>https://www.ifc.org/en/pressroom/2026/ifc-and-nsia-to-scale-oncology-and-diagnostic-services-for-underserved-communities</t>
        </is>
      </c>
    </row>
    <row r="61">
      <c r="A61" t="inlineStr">
        <is>
          <t>Funds &amp; LP Co-Investors</t>
        </is>
      </c>
      <c r="B61" t="inlineStr">
        <is>
          <t>added May 2026</t>
        </is>
      </c>
      <c r="C61" t="inlineStr">
        <is>
          <t>InfraCredit</t>
        </is>
      </c>
      <c r="D61" t="inlineStr">
        <is>
          <t>NSIA Nigeria</t>
        </is>
      </c>
      <c r="E61" t="inlineStr">
        <is>
          <t>Include</t>
        </is>
      </c>
      <c r="F61" t="inlineStr">
        <is>
          <t>Include</t>
        </is>
      </c>
      <c r="G61" t="inlineStr">
        <is>
          <t>Column H identifies NSIA, an African SWF, as sponsor/anchor investor; InfraCredit also has named Nigerian pension shareholders.</t>
        </is>
      </c>
      <c r="H61" t="inlineStr">
        <is>
          <t>https://nsia.com.ng/portfolio/infracredit/</t>
        </is>
      </c>
    </row>
    <row r="62">
      <c r="A62" t="inlineStr">
        <is>
          <t>Funds &amp; LP Co-Investors</t>
        </is>
      </c>
      <c r="B62" t="inlineStr">
        <is>
          <t>added May 2026</t>
        </is>
      </c>
      <c r="C62" t="inlineStr">
        <is>
          <t>Construction Finance Warehouse Facility (CFWF)</t>
        </is>
      </c>
      <c r="D62" t="inlineStr">
        <is>
          <t>NSIA Nigeria</t>
        </is>
      </c>
      <c r="E62" t="inlineStr">
        <is>
          <t>Include</t>
        </is>
      </c>
      <c r="F62" t="inlineStr">
        <is>
          <t>Include</t>
        </is>
      </c>
      <c r="G62" t="inlineStr">
        <is>
          <t>Column H identifies NSIA, an African SWF, as sponsor/anchor investor; InfraCredit also has named Nigerian pension shareholders.</t>
        </is>
      </c>
      <c r="H62" t="inlineStr">
        <is>
          <t>https://infracredit.ng/nsia-invests-ngn10-billion-into-an-innovative-construction-finance-warehouse-facility-in-collaboration-with-infracredit-to-support-bankable-greenfield-infrastructure-project-finance-in-nigeria/</t>
        </is>
      </c>
    </row>
    <row r="63">
      <c r="A63" t="inlineStr">
        <is>
          <t>Funds &amp; LP Co-Investors</t>
        </is>
      </c>
      <c r="B63" t="n">
        <v>42</v>
      </c>
      <c r="C63" t="inlineStr">
        <is>
          <t>Oasis Africa VC Fund (OAF)</t>
        </is>
      </c>
      <c r="D63" t="inlineStr">
        <is>
          <t>Venture Capital Trust Fund (VCTF)</t>
        </is>
      </c>
      <c r="E63" t="inlineStr">
        <is>
          <t>Include</t>
        </is>
      </c>
      <c r="F63" t="inlineStr">
        <is>
          <t>Include</t>
        </is>
      </c>
      <c r="G63" t="inlineStr">
        <is>
          <t>VCTF is a Ghanaian government-backed venture capital fund of funds; VCTF 2015 annual report confirms USD 2m commitment and DGGF research confirms the fund was locally domiciled to access VCTF co-investment.</t>
        </is>
      </c>
      <c r="H63" t="inlineStr">
        <is>
          <t>https://vctf.com.gh/wp-content/uploads/2022/09/Venture-Capital-Annual-report-2015.pdf; https://english.dggf.nl/site/binaries/site-content/collections/documents/2025/11/17/getting-sme-risk-capital-funds-to-first-close/dggf-knowledge-product-getting-sme-risk-capital-funds-to-first-close.pdf</t>
        </is>
      </c>
    </row>
    <row r="64">
      <c r="A64" t="inlineStr">
        <is>
          <t>Funds &amp; LP Co-Investors</t>
        </is>
      </c>
      <c r="B64" t="inlineStr">
        <is>
          <t>added 2026-06-22</t>
        </is>
      </c>
      <c r="C64" t="inlineStr">
        <is>
          <t>Enko Impact Credit Fund</t>
        </is>
      </c>
      <c r="D64" t="inlineStr">
        <is>
          <t>PIC (mgr for GEPF) (USD 30m)</t>
        </is>
      </c>
      <c r="E64" t="inlineStr">
        <is>
          <t>Include</t>
        </is>
      </c>
      <c r="F64" t="inlineStr">
        <is>
          <t>Include</t>
        </is>
      </c>
      <c r="G64" t="inlineStr">
        <is>
          <t>Named African public pension asset manager commitment to a specific private credit fund, with amount disclosed.</t>
        </is>
      </c>
      <c r="H64" t="inlineStr">
        <is>
          <t>https://www.bii.co.uk/en/news-insight/news/bii-and-pic-announce-first-investment-under-new-partnership-to-drive-growth-for-african-businesses/; https://www.ecofinagency.com/news-finances/2411-50773-enko-capital-raises-130mln-for-its-private-credit-fund</t>
        </is>
      </c>
    </row>
    <row r="65">
      <c r="A65" t="inlineStr">
        <is>
          <t>Funds &amp; LP Co-Investors</t>
        </is>
      </c>
      <c r="B65" t="inlineStr">
        <is>
          <t>added 2026-06-22</t>
        </is>
      </c>
      <c r="C65" t="inlineStr">
        <is>
          <t>Hlayisani Venture Fund II</t>
        </is>
      </c>
      <c r="D65" t="inlineStr">
        <is>
          <t>PIC (mgr for GEPF)</t>
        </is>
      </c>
      <c r="E65" t="inlineStr">
        <is>
          <t>Include</t>
        </is>
      </c>
      <c r="F65" t="inlineStr">
        <is>
          <t>Include</t>
        </is>
      </c>
      <c r="G65" t="inlineStr">
        <is>
          <t>Fund manager names PIC as anchor investor in ZAR 500m first close.</t>
        </is>
      </c>
      <c r="H65" t="inlineStr">
        <is>
          <t>https://hlayisani.com/news/</t>
        </is>
      </c>
    </row>
    <row r="66">
      <c r="A66" t="inlineStr">
        <is>
          <t>Funds &amp; LP Co-Investors</t>
        </is>
      </c>
      <c r="B66" t="inlineStr">
        <is>
          <t>added 2026-06-22</t>
        </is>
      </c>
      <c r="C66" t="inlineStr">
        <is>
          <t>African Women Impact Fund (AWIF)</t>
        </is>
      </c>
      <c r="D66" t="inlineStr">
        <is>
          <t>Motor Industry Retirement Fund (MIRF); Copartes Pension Fund</t>
        </is>
      </c>
      <c r="E66" t="inlineStr">
        <is>
          <t>Include</t>
        </is>
      </c>
      <c r="F66" t="inlineStr">
        <is>
          <t>Include</t>
        </is>
      </c>
      <c r="G66" t="inlineStr">
        <is>
          <t>UNECA names African pension funds and amount brought under AWIF initiative; fund-of-funds/gender-lens alternatives vehicle.</t>
        </is>
      </c>
      <c r="H66" t="inlineStr">
        <is>
          <t>https://www.uneca.org/stories/african-women-impact-fund-launches-with-usd%2460-million-commitment-to-drive-an-inclusive; https://www.midaadvisors.com/advisory-firm-the-african-women-impact-fund</t>
        </is>
      </c>
    </row>
    <row r="67">
      <c r="A67" t="inlineStr">
        <is>
          <t>Funds &amp; LP Co-Investors</t>
        </is>
      </c>
      <c r="B67" t="inlineStr">
        <is>
          <t>added 2026-06-22</t>
        </is>
      </c>
      <c r="C67" t="inlineStr">
        <is>
          <t>Kholo Capital Mezzanine Debt Fund I</t>
        </is>
      </c>
      <c r="D67" t="inlineStr">
        <is>
          <t>Mineworkers Provident Fund; National Fund for Municipal Workers (NFMW)</t>
        </is>
      </c>
      <c r="E67" t="inlineStr">
        <is>
          <t>Include</t>
        </is>
      </c>
      <c r="F67" t="inlineStr">
        <is>
          <t>Include</t>
        </is>
      </c>
      <c r="G67" t="inlineStr">
        <is>
          <t>First-close coverage names two South African pension funds as institutional investors in a specific mezzanine/private debt fund.</t>
        </is>
      </c>
      <c r="H67" t="inlineStr">
        <is>
          <t>https://www.africaprivateequitynews.com/p/kholo-capital-mezzanine-debt-fund-i-achieves-first-close; https://ffnews.com/newsarticle/debt-fund-kholo-capital-mezzanine-debt-fund-i-achieve-first-close-at-r870m/</t>
        </is>
      </c>
    </row>
    <row r="68">
      <c r="A68" t="inlineStr">
        <is>
          <t>Commitments Database</t>
        </is>
      </c>
      <c r="B68" t="inlineStr">
        <is>
          <t>added 2026-06-23</t>
        </is>
      </c>
      <c r="C68" t="inlineStr">
        <is>
          <t>Africa50 Infrastructure Acceleration Fund (IAF)</t>
        </is>
      </c>
      <c r="D68" t="inlineStr">
        <is>
          <t>Public Service Superannuation Scheme/Fund Kenya</t>
        </is>
      </c>
      <c r="E68" t="inlineStr">
        <is>
          <t>Include</t>
        </is>
      </c>
      <c r="F68" t="inlineStr">
        <is>
          <t>Include</t>
        </is>
      </c>
      <c r="G68" t="inlineStr">
        <is>
          <t>Africa50 official release names Public Service Superannuation Fund (Kenya) as a recent IAF commitment; reconciled to existing PSSS institution name.</t>
        </is>
      </c>
      <c r="H68" t="inlineStr">
        <is>
          <t>https://www.africa50.com/media/news/article/africa50-infrastructure-acceleration-fund-marks-inaugural-investment-in-port-operator-mass-cereales-al-maghreb/</t>
        </is>
      </c>
    </row>
    <row r="69">
      <c r="A69" t="inlineStr">
        <is>
          <t>Commitments Database</t>
        </is>
      </c>
      <c r="B69" t="inlineStr">
        <is>
          <t>added 2026-06-23</t>
        </is>
      </c>
      <c r="C69" t="inlineStr">
        <is>
          <t>Africa50 Infrastructure Acceleration Fund (IAF)</t>
        </is>
      </c>
      <c r="D69" t="inlineStr">
        <is>
          <t>CNPS Cameroon</t>
        </is>
      </c>
      <c r="E69" t="inlineStr">
        <is>
          <t>Include</t>
        </is>
      </c>
      <c r="F69" t="inlineStr">
        <is>
          <t>Include</t>
        </is>
      </c>
      <c r="G69" t="inlineStr">
        <is>
          <t>Africa50 official release names CNPS Cameroon as a recent IAF commitment; distinct from existing AFC equity holding.</t>
        </is>
      </c>
      <c r="H69" t="inlineStr">
        <is>
          <t>https://www.africa50.com/media/news/article/africa50-infrastructure-acceleration-fund-marks-inaugural-investment-in-port-operator-mass-cereales-al-maghreb/</t>
        </is>
      </c>
    </row>
    <row r="70">
      <c r="A70" t="inlineStr">
        <is>
          <t>Commitments Database</t>
        </is>
      </c>
      <c r="B70" t="inlineStr">
        <is>
          <t>added 2026-06-23</t>
        </is>
      </c>
      <c r="C70" t="inlineStr">
        <is>
          <t>Africa Credit Opportunities Fund III (ACO Fund 3)</t>
        </is>
      </c>
      <c r="D70" t="inlineStr">
        <is>
          <t>GEPF (via PIC)</t>
        </is>
      </c>
      <c r="E70" t="inlineStr">
        <is>
          <t>Include</t>
        </is>
      </c>
      <c r="F70" t="inlineStr">
        <is>
          <t>Include</t>
        </is>
      </c>
      <c r="G70" t="inlineStr">
        <is>
          <t>GEPF official annual report names approved allocation to Ninety One Credit Fund / Africa Credit Opportunities Fund III; GP/DFI sources confirm fund first close and co-investor base.</t>
        </is>
      </c>
      <c r="H70" t="inlineStr">
        <is>
          <t>https://gepf.co.za/wp-content/uploads/2025/11/GEPF_AR_2025_digital.pdf; https://ninetyone.com/en/newsroom/ninety-one-announces-usd260-million-first-close-of-aco-fund-3; https://www.findevcanada.ca/en/news/findev-canada-commits-usd-20-million-ninety-ones-africa-credit-opportunities-fund-iii-support</t>
        </is>
      </c>
    </row>
  </sheetData>
  <autoFilter ref="A1:H5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13"/>
  <sheetViews>
    <sheetView workbookViewId="0">
      <pane ySplit="1" topLeftCell="A2" activePane="bottomLeft" state="frozen"/>
      <selection pane="bottomLeft" activeCell="A1" sqref="A1"/>
    </sheetView>
  </sheetViews>
  <sheetFormatPr baseColWidth="8" defaultRowHeight="15"/>
  <cols>
    <col width="24" customWidth="1" style="26" min="1" max="1"/>
    <col width="34" customWidth="1" style="26" min="2" max="2"/>
    <col width="24" customWidth="1" style="26" min="3" max="3"/>
    <col width="34" customWidth="1" style="26" min="4" max="4"/>
    <col width="38" customWidth="1" style="26" min="5" max="5"/>
    <col width="20" customWidth="1" style="26" min="6" max="7"/>
    <col width="14" customWidth="1" style="26" min="8" max="8"/>
    <col width="34" customWidth="1" style="26" min="9" max="9"/>
    <col width="12" customWidth="1" style="26" min="10" max="10"/>
    <col width="42" customWidth="1" style="26" min="11" max="11"/>
    <col width="52" customWidth="1" style="26" min="12" max="12"/>
    <col width="58" customWidth="1" style="26" min="13" max="14"/>
    <col width="24" customWidth="1" style="26" min="15" max="15"/>
    <col width="14" customWidth="1" style="26" min="16" max="16"/>
  </cols>
  <sheetData>
    <row r="1">
      <c r="A1" s="20" t="inlineStr">
        <is>
          <t>Candidate status</t>
        </is>
      </c>
      <c r="B1" s="20" t="inlineStr">
        <is>
          <t>Vehicle</t>
        </is>
      </c>
      <c r="C1" s="20" t="inlineStr">
        <is>
          <t>Manager / GP</t>
        </is>
      </c>
      <c r="D1" s="20" t="inlineStr">
        <is>
          <t>African PF/SWF evidence</t>
        </is>
      </c>
      <c r="E1" s="20" t="inlineStr">
        <is>
          <t>DFI / Other LP evidence</t>
        </is>
      </c>
      <c r="F1" s="20" t="inlineStr">
        <is>
          <t>Asset class</t>
        </is>
      </c>
      <c r="G1" s="20" t="inlineStr">
        <is>
          <t>Geographic focus</t>
        </is>
      </c>
      <c r="H1" s="20" t="inlineStr">
        <is>
          <t>Vintage / year</t>
        </is>
      </c>
      <c r="I1" s="20" t="inlineStr">
        <is>
          <t>Fund size / commitment evidence</t>
        </is>
      </c>
      <c r="J1" s="20" t="inlineStr">
        <is>
          <t>Confidence</t>
        </is>
      </c>
      <c r="K1" s="20" t="inlineStr">
        <is>
          <t>Recommended action</t>
        </is>
      </c>
      <c r="L1" s="20" t="inlineStr">
        <is>
          <t>Evidence summary</t>
        </is>
      </c>
      <c r="M1" s="20" t="inlineStr">
        <is>
          <t>Primary source URL</t>
        </is>
      </c>
      <c r="N1" s="20" t="inlineStr">
        <is>
          <t>Secondary source URL</t>
        </is>
      </c>
      <c r="O1" s="20" t="inlineStr">
        <is>
          <t>Search batch</t>
        </is>
      </c>
      <c r="P1" s="20" t="inlineStr">
        <is>
          <t>Date added</t>
        </is>
      </c>
    </row>
    <row r="2" ht="45" customHeight="1" s="26">
      <c r="A2" s="14" t="inlineStr">
        <is>
          <t>Actioned - added to database</t>
        </is>
      </c>
      <c r="B2" s="14" t="inlineStr">
        <is>
          <t>Africa Food Security Fund (AFSF)</t>
        </is>
      </c>
      <c r="C2" s="14" t="inlineStr">
        <is>
          <t>Zebu Investment Partners</t>
        </is>
      </c>
      <c r="D2" s="14" t="inlineStr">
        <is>
          <t>PIC on behalf of GEPF (South Africa)</t>
        </is>
      </c>
      <c r="E2" s="14" t="inlineStr">
        <is>
          <t>AfDB; CDC Group/BII; Dutch Good Growth Fund; IFU; EBID; Kuramo Capital Management</t>
        </is>
      </c>
      <c r="F2" s="14" t="inlineStr">
        <is>
          <t>PE / agriculture / food security</t>
        </is>
      </c>
      <c r="G2" s="14" t="inlineStr">
        <is>
          <t>Sub-Saharan Africa</t>
        </is>
      </c>
      <c r="H2" s="14" t="inlineStr">
        <is>
          <t>2019</t>
        </is>
      </c>
      <c r="I2" s="14" t="inlineStr">
        <is>
          <t>DGGF says AFSF reached USD 84m; BII page says total commitments USD 90m</t>
        </is>
      </c>
      <c r="J2" s="14" t="inlineStr">
        <is>
          <t>H</t>
        </is>
      </c>
      <c r="K2" s="14" t="inlineStr">
        <is>
          <t>Already added to Commitments, Fund Vehicles, Source Library, Inclusion Audit, and DFI/Other LP patterns.</t>
        </is>
      </c>
      <c r="L2" s="14" t="inlineStr">
        <is>
          <t>DGGF names PIC on behalf of GEPF in first-round investors alongside DFIs and DGGF; BII confirms CDC invested alongside PIC and DFI group.</t>
        </is>
      </c>
      <c r="M2" s="14" t="inlineStr">
        <is>
          <t>https://english.dggf.nl/latest/news/2019/01/24/zebu-s-africa-food-security-fund-a-dggf-investee-reaches-total-fund-size-of-usd-84-million</t>
        </is>
      </c>
      <c r="N2" s="14" t="inlineStr">
        <is>
          <t>https://www.bii.co.uk/en/our-impact/fund/africa-food-security-fund-i-investment-01/</t>
        </is>
      </c>
      <c r="O2" s="14" t="inlineStr">
        <is>
          <t>PIC/GEPF + DFI sweep</t>
        </is>
      </c>
      <c r="P2" s="14" t="inlineStr">
        <is>
          <t>2026-05-19</t>
        </is>
      </c>
    </row>
    <row r="3" ht="60" customHeight="1" s="26">
      <c r="A3" s="14" t="inlineStr">
        <is>
          <t>Candidate - likely add after row construction</t>
        </is>
      </c>
      <c r="B3" s="14" t="inlineStr">
        <is>
          <t>Pan African Infrastructure Development Fund (PAIDF)</t>
        </is>
      </c>
      <c r="C3" s="14" t="inlineStr">
        <is>
          <t>PAIDF Management Company / Harith-linked platform</t>
        </is>
      </c>
      <c r="D3" s="14" t="inlineStr">
        <is>
          <t>PIC/GEPF; Eskom Pension and Provident Fund; SSNIT Ghana; Metropolitan/Old Mutual/Stanlib named in source context</t>
        </is>
      </c>
      <c r="E3" s="14" t="inlineStr">
        <is>
          <t>AfDB; DBSA; Absa Capital; Barclays/ABSA Group</t>
        </is>
      </c>
      <c r="F3" s="14" t="inlineStr">
        <is>
          <t>Infrastructure</t>
        </is>
      </c>
      <c r="G3" s="14" t="inlineStr">
        <is>
          <t>Pan-Africa</t>
        </is>
      </c>
      <c r="H3" s="14" t="inlineStr">
        <is>
          <t>2007</t>
        </is>
      </c>
      <c r="I3" s="14" t="inlineStr">
        <is>
          <t>AfDB says target up to USD 450m initially; DBSA annual report says first close in Sep 2007 at USD 625m and DBSA committed USD 100m.</t>
        </is>
      </c>
      <c r="J3" s="14" t="inlineStr">
        <is>
          <t>H</t>
        </is>
      </c>
      <c r="K3" s="14" t="inlineStr">
        <is>
          <t>Add to Commitments and Fund Vehicles if historical scope includes older infrastructure funds; likely multiple African PF/SWF LP rows or a single aggregate historical PAIDF row.</t>
        </is>
      </c>
      <c r="L3" s="14" t="inlineStr">
        <is>
          <t>AfDB page names PIC/GEPF and EPPF as potential/reputable investors and PIC as chief sponsor; DBSA annual report says DBSA invested alongside PIC, AfDB, and SSNIT.</t>
        </is>
      </c>
      <c r="M3" s="14" t="inlineStr">
        <is>
          <t>https://www.afdb.org/en/news-and-events/pan-african-infrastructure-development-fund-paidf-afdb-group-proposes-us-50-million-investment-in-paidf-3476</t>
        </is>
      </c>
      <c r="N3" s="14" t="inlineStr">
        <is>
          <t>https://www.dbsa.org/sites/default/files/media/documents/2021-09/DBSA%20and%20Development%20Fund%20Annual%20Reports%202008.pdf</t>
        </is>
      </c>
      <c r="O3" s="14" t="inlineStr">
        <is>
          <t>PIC/GEPF + DFI sweep</t>
        </is>
      </c>
      <c r="P3" s="14" t="inlineStr">
        <is>
          <t>2026-05-19</t>
        </is>
      </c>
    </row>
    <row r="4" ht="45" customHeight="1" s="26">
      <c r="A4" s="14" t="inlineStr">
        <is>
          <t>Added to Commitments Database - 2026-06-22</t>
        </is>
      </c>
      <c r="B4" s="14" t="inlineStr">
        <is>
          <t>Hlayisani Venture Fund II (HVF II)</t>
        </is>
      </c>
      <c r="C4" s="14" t="inlineStr">
        <is>
          <t>Hlayisani Capital</t>
        </is>
      </c>
      <c r="D4" s="14" t="inlineStr">
        <is>
          <t>Public Investment Corporation (PIC)</t>
        </is>
      </c>
      <c r="E4" s="14" t="inlineStr">
        <is>
          <t>SA SME Fund; additional private investors and family offices</t>
        </is>
      </c>
      <c r="F4" s="14" t="inlineStr">
        <is>
          <t>VC / technology-enabled SMEs</t>
        </is>
      </c>
      <c r="G4" s="14" t="inlineStr">
        <is>
          <t>South Africa</t>
        </is>
      </c>
      <c r="H4" s="14" t="inlineStr">
        <is>
          <t>2026</t>
        </is>
      </c>
      <c r="I4" s="14" t="inlineStr">
        <is>
          <t>R500m / about USD 30m commitments to date; final close targeted June 2026.</t>
        </is>
      </c>
      <c r="J4" s="14" t="inlineStr">
        <is>
          <t>H</t>
        </is>
      </c>
      <c r="K4" s="14" t="inlineStr">
        <is>
          <t>Added to Commitments Database, Fund Vehicles, Source Library, Inclusion Audit, and DFI/Other LP patterns where applicable.</t>
        </is>
      </c>
      <c r="L4" s="14" t="inlineStr">
        <is>
          <t>Hlayisani and multiple trade sources say Fund II is anchored by PIC and SA SME Fund with R500m committed to date.</t>
        </is>
      </c>
      <c r="M4" s="14" t="inlineStr">
        <is>
          <t>https://hlayisani.com/</t>
        </is>
      </c>
      <c r="N4" s="14" t="inlineStr">
        <is>
          <t>https://disruptafrica.com/2026/03/11/sas-hlayisani-capital-launches-2nd-fund-with-initial-29-9m-in-commitments/</t>
        </is>
      </c>
      <c r="O4" s="14" t="inlineStr">
        <is>
          <t>PIC/GEPF + recent fund-close sweep</t>
        </is>
      </c>
      <c r="P4" s="14" t="inlineStr">
        <is>
          <t>2026-05-19</t>
        </is>
      </c>
    </row>
    <row r="5" ht="60" customHeight="1" s="26">
      <c r="A5" s="14" t="inlineStr">
        <is>
          <t>Candidate - research vehicle identity</t>
        </is>
      </c>
      <c r="B5" s="14" t="inlineStr">
        <is>
          <t>Medu Capital Fund II</t>
        </is>
      </c>
      <c r="C5" s="14" t="inlineStr">
        <is>
          <t>Medu Capital</t>
        </is>
      </c>
      <c r="D5" s="14" t="inlineStr">
        <is>
          <t>Eskom Pension and Provident Fund; Public Investment Corporation</t>
        </is>
      </c>
      <c r="E5" s="14" t="inlineStr">
        <is>
          <t>DBSA; CDC Group; FMO; Alternative Equity Partners; Brait; Metropolitan; Vunani</t>
        </is>
      </c>
      <c r="F5" s="14" t="inlineStr">
        <is>
          <t>PE / BEE mid-market</t>
        </is>
      </c>
      <c r="G5" s="14" t="inlineStr">
        <is>
          <t>South Africa</t>
        </is>
      </c>
      <c r="H5" s="14" t="inlineStr">
        <is>
          <t>2008</t>
        </is>
      </c>
      <c r="I5" s="14" t="inlineStr">
        <is>
          <t>DBSA annual report says capitalisation R850m; DBSA provided R100m.</t>
        </is>
      </c>
      <c r="J5" s="14" t="inlineStr">
        <is>
          <t>M-H</t>
        </is>
      </c>
      <c r="K5" s="14" t="inlineStr">
        <is>
          <t>Review whether the vehicle is in scope as alternatives/fund LP; likely add if historical South Africa domestic PE vehicles are included.</t>
        </is>
      </c>
      <c r="L5" s="14" t="inlineStr">
        <is>
          <t>DBSA annual report identifies Medu II investors including EPPF, PIC, CDC, FMO and DBSA.</t>
        </is>
      </c>
      <c r="M5" s="14" t="inlineStr">
        <is>
          <t>https://www.dbsa.org/sites/default/files/media/documents/2021-09/DBSA%20and%20Development%20Fund%20Annual%20Reports%202008.pdf</t>
        </is>
      </c>
      <c r="N5" s="14" t="n"/>
      <c r="O5" s="14" t="inlineStr">
        <is>
          <t>DBSA historical PE fund sweep</t>
        </is>
      </c>
      <c r="P5" s="14" t="inlineStr">
        <is>
          <t>2026-05-19</t>
        </is>
      </c>
    </row>
    <row r="6" ht="90" customHeight="1" s="26">
      <c r="A6" s="14" t="inlineStr">
        <is>
          <t>Pipeline - monitor for first close / RSSB confirmation</t>
        </is>
      </c>
      <c r="B6" s="14" t="inlineStr">
        <is>
          <t>Virunga Africa Fund II</t>
        </is>
      </c>
      <c r="C6" s="14" t="inlineStr">
        <is>
          <t>Admaius Capital Partners</t>
        </is>
      </c>
      <c r="D6" s="14" t="inlineStr">
        <is>
          <t>RSSB anchored predecessor Fund I; local press frames Fund II as following RSSB-anchored Fund I, but no confirmed RSSB Fund II commitment found as of 5 June 2026.</t>
        </is>
      </c>
      <c r="E6" s="14" t="inlineStr">
        <is>
          <t>IFC proposed USD 25m equity investment plus up to USD 10m co-investment envelope; board date expected 10 June 2026.</t>
        </is>
      </c>
      <c r="F6" s="14" t="inlineStr">
        <is>
          <t>Growth equity / private equity</t>
        </is>
      </c>
      <c r="G6" s="14" t="inlineStr">
        <is>
          <t>Egypt, Kenya, Morocco, Rwanda, South Africa / Africa</t>
        </is>
      </c>
      <c r="H6" s="14" t="n">
        <v>2026</v>
      </c>
      <c r="I6" s="14" t="inlineStr">
        <is>
          <t>USD 500m target; proposed IFC commitment only.</t>
        </is>
      </c>
      <c r="J6" s="14" t="inlineStr">
        <is>
          <t>M-H</t>
        </is>
      </c>
      <c r="K6" s="14" t="inlineStr">
        <is>
          <t>Keep in Pipeline &amp; Mandates; do not count in confirmed commitments until first close or official RSSB commitment evidence is public.</t>
        </is>
      </c>
      <c r="L6" s="14" t="inlineStr">
        <is>
          <t>IFC disclosure and local/trade coverage show Fund II is proposed/raising and follows the RSSB/QIA-anchored Fund I; no official RSSB Fund II commitment evidence located in this audit.</t>
        </is>
      </c>
      <c r="M6" s="14" t="inlineStr">
        <is>
          <t>https://www.newtimes.co.rw/article/36220/news/featured/world-banks-ifc-to-back-admaius-500-million-virunga-africa-fund-ii</t>
        </is>
      </c>
      <c r="N6" s="14" t="inlineStr">
        <is>
          <t>https://www.africaprivateequitynews.com/p/ifc-discloses-proposed-25m-investment</t>
        </is>
      </c>
      <c r="O6" s="14" t="inlineStr">
        <is>
          <t>KIFC/RSSB financial-centre sweep 2026-06-05</t>
        </is>
      </c>
      <c r="P6" s="14" t="inlineStr">
        <is>
          <t>2026-06-05</t>
        </is>
      </c>
    </row>
    <row r="7" ht="60" customHeight="1" s="26">
      <c r="A7" s="14" t="inlineStr">
        <is>
          <t>Reviewed - out of scope unless PF/SWF LP evidence emerges</t>
        </is>
      </c>
      <c r="B7" s="14" t="inlineStr">
        <is>
          <t>FEDA fund / Afreximbank KIFC-domiciled fund</t>
        </is>
      </c>
      <c r="C7" s="14" t="inlineStr">
        <is>
          <t>Afreximbank / FEDA</t>
        </is>
      </c>
      <c r="D7" s="14" t="inlineStr">
        <is>
          <t>None found in KIFC/RSSB audit; KIFC article lists FEDA as domiciled capital, not RSSB or African pension/SWF-backed LP evidence.</t>
        </is>
      </c>
      <c r="E7" s="14" t="inlineStr">
        <is>
          <t>Afreximbank/FEDA institutional platform.</t>
        </is>
      </c>
      <c r="F7" s="14" t="inlineStr">
        <is>
          <t>Trade / export development fund</t>
        </is>
      </c>
      <c r="G7" s="14" t="inlineStr">
        <is>
          <t>Africa</t>
        </is>
      </c>
      <c r="H7" s="14" t="n">
        <v>2022</v>
      </c>
      <c r="I7" s="14" t="inlineStr">
        <is>
          <t>KIFC article cites USD 350m domiciliation as part of USD 600m attracted to KIFC.</t>
        </is>
      </c>
      <c r="J7" s="14" t="inlineStr">
        <is>
          <t>M</t>
        </is>
      </c>
      <c r="K7" s="14" t="inlineStr">
        <is>
          <t>Exclude from confirmed commitments and funds unless a named African PF/SWF allocator commitment is found.</t>
        </is>
      </c>
      <c r="L7" s="14" t="inlineStr">
        <is>
          <t>This explains a likely false-positive KIFC search result: KIFC-domiciled fund, but no named African PF/SWF LP evidence.</t>
        </is>
      </c>
      <c r="M7" s="14" t="inlineStr">
        <is>
          <t>https://kifc.rw/how-kigali-international-financial-centre-aims-to-fast-track-rwanda-as-a-preferred-financial-centre-for-investments-in-africa/</t>
        </is>
      </c>
      <c r="N7" s="14" t="n"/>
      <c r="O7" s="14" t="inlineStr">
        <is>
          <t>KIFC/RSSB financial-centre sweep 2026-06-05</t>
        </is>
      </c>
      <c r="P7" s="14" t="inlineStr">
        <is>
          <t>2026-06-05</t>
        </is>
      </c>
    </row>
    <row r="8" ht="60" customHeight="1" s="26">
      <c r="A8" s="14" t="inlineStr">
        <is>
          <t>Reviewed - out of scope unless PF/SWF LP evidence emerges</t>
        </is>
      </c>
      <c r="B8" s="14" t="inlineStr">
        <is>
          <t>Dakar Network of Angel Investors (DNA) Angel Investment SPV</t>
        </is>
      </c>
      <c r="C8" s="14" t="inlineStr">
        <is>
          <t>Dakar Network of Angel Investors / KIFC SPV</t>
        </is>
      </c>
      <c r="D8" s="14" t="inlineStr">
        <is>
          <t>None found; KIFC article describes a regional angel-investor SPV registered in Kigali, not an African PF/SWF allocation.</t>
        </is>
      </c>
      <c r="E8" s="14" t="inlineStr">
        <is>
          <t>Angel investor network / SPV evidence only.</t>
        </is>
      </c>
      <c r="F8" s="14" t="inlineStr">
        <is>
          <t>Angel / venture SPV</t>
        </is>
      </c>
      <c r="G8" s="14" t="inlineStr">
        <is>
          <t>Regional Africa</t>
        </is>
      </c>
      <c r="H8" s="14" t="n">
        <v>2022</v>
      </c>
      <c r="I8" s="14" t="inlineStr">
        <is>
          <t>KIFC article cites USD 10m SPV.</t>
        </is>
      </c>
      <c r="J8" s="14" t="inlineStr">
        <is>
          <t>M</t>
        </is>
      </c>
      <c r="K8" s="14" t="inlineStr">
        <is>
          <t>Exclude from confirmed commitments; only revisit if a pension fund or SWF LP is publicly named.</t>
        </is>
      </c>
      <c r="L8" s="14" t="inlineStr">
        <is>
          <t>Useful negative-control result from KIFC domiciliation searches; not every KIFC vehicle is in scope for the dashboard.</t>
        </is>
      </c>
      <c r="M8" s="14" t="inlineStr">
        <is>
          <t>https://kifc.rw/how-kigali-international-financial-centre-aims-to-fast-track-rwanda-as-a-preferred-financial-centre-for-investments-in-africa/</t>
        </is>
      </c>
      <c r="N8" s="14" t="n"/>
      <c r="O8" s="14" t="inlineStr">
        <is>
          <t>KIFC/RSSB financial-centre sweep 2026-06-05</t>
        </is>
      </c>
      <c r="P8" s="14" t="inlineStr">
        <is>
          <t>2026-06-05</t>
        </is>
      </c>
    </row>
    <row r="9" ht="75" customHeight="1" s="26">
      <c r="A9" s="14" t="inlineStr">
        <is>
          <t>Candidate - scope decision needed</t>
        </is>
      </c>
      <c r="B9" s="14" t="inlineStr">
        <is>
          <t>Akobo Minerals AB private placement / Segele gold project stake</t>
        </is>
      </c>
      <c r="C9" s="14" t="inlineStr">
        <is>
          <t>Akobo Minerals AB / Ethiopian Investment Holdings</t>
        </is>
      </c>
      <c r="D9" s="14" t="inlineStr">
        <is>
          <t>Ethiopian Investment Holdings subscribed USD 3m for 15m new shares, resulting in a 7.4% stake.</t>
        </is>
      </c>
      <c r="E9" s="14" t="inlineStr">
        <is>
          <t>N/A - direct issuer private placement / listed-company equity context.</t>
        </is>
      </c>
      <c r="F9" s="14" t="inlineStr">
        <is>
          <t>Direct equity / mining</t>
        </is>
      </c>
      <c r="G9" s="14" t="inlineStr">
        <is>
          <t>Ethiopia / international listed issuer</t>
        </is>
      </c>
      <c r="H9" s="14" t="n">
        <v>2025</v>
      </c>
      <c r="I9" s="14" t="inlineStr">
        <is>
          <t>USD 3m private placement; 7.4% ownership stake.</t>
        </is>
      </c>
      <c r="J9" s="14" t="inlineStr">
        <is>
          <t>H</t>
        </is>
      </c>
      <c r="K9" s="14" t="inlineStr">
        <is>
          <t>Decide whether listed-company private placement by an African SWF into an Ethiopia-linked mining company belongs in Commitments Database or remains out of PE/infra fund scope.</t>
        </is>
      </c>
      <c r="L9" s="14" t="inlineStr">
        <is>
          <t>Issuer and multiple local sources report EIH first international investment in Akobo Minerals; this is public direct-equity evidence but not a fund LP commitment.</t>
        </is>
      </c>
      <c r="M9" s="14" t="inlineStr">
        <is>
          <t>https://news.cision.com/akobo-minerals-ab/r/akobo-minerals-secures-ethiopian-sovereign-fund-s-first-international-investment,c4216389</t>
        </is>
      </c>
      <c r="N9" s="14" t="inlineStr">
        <is>
          <t>https://www.stockmarket.et/ethiopian-investment-holdings-invests-usd-3-million-for-7-4-stake-in-akobo-minerals/</t>
        </is>
      </c>
      <c r="O9" s="14" t="inlineStr">
        <is>
          <t>Tier 1 disclosure sweep - EIH 2026-06-05</t>
        </is>
      </c>
      <c r="P9" s="14" t="inlineStr">
        <is>
          <t>2026-06-05</t>
        </is>
      </c>
    </row>
    <row r="10" ht="60" customHeight="1" s="26">
      <c r="A10" s="14" t="inlineStr">
        <is>
          <t>Candidate - research vehicle identity / likely pipeline only</t>
        </is>
      </c>
      <c r="B10" s="14" t="inlineStr">
        <is>
          <t>CMR OPCI real-estate vehicles</t>
        </is>
      </c>
      <c r="C10" s="14" t="inlineStr">
        <is>
          <t>Multiple OPCI management companies</t>
        </is>
      </c>
      <c r="D10" s="14" t="inlineStr">
        <is>
          <t>Local French-language coverage says three OPCI approvals were issued for CMR as part of diversification.</t>
        </is>
      </c>
      <c r="E10" s="14" t="inlineStr">
        <is>
          <t>N/A</t>
        </is>
      </c>
      <c r="F10" s="14" t="inlineStr">
        <is>
          <t>Real estate / OPCI</t>
        </is>
      </c>
      <c r="G10" s="14" t="inlineStr">
        <is>
          <t>Morocco</t>
        </is>
      </c>
      <c r="H10" s="14" t="n">
        <v>2021</v>
      </c>
      <c r="I10" s="14" t="inlineStr">
        <is>
          <t>Vehicle names and commitment sizes not resolved in initial sweep.</t>
        </is>
      </c>
      <c r="J10" s="14" t="inlineStr">
        <is>
          <t>M</t>
        </is>
      </c>
      <c r="K10" s="14" t="inlineStr">
        <is>
          <t>Research AMMC OPCI register and CMR reports for named vehicles; likely exclude unless real-estate vehicles are brought into dashboard scope.</t>
        </is>
      </c>
      <c r="L10" s="14" t="inlineStr">
        <is>
          <t>CMR appears to have diversified into OPCI real-estate vehicles, but no named allocator-to-fund commitment row is yet available.</t>
        </is>
      </c>
      <c r="M10" s="14" t="inlineStr">
        <is>
          <t>https://leseco.ma/business/retraite-la-cmr-diversifie-ses-placements.html</t>
        </is>
      </c>
      <c r="N10" s="14" t="inlineStr">
        <is>
          <t>https://www.ammc.ma/</t>
        </is>
      </c>
      <c r="O10" s="14" t="inlineStr">
        <is>
          <t>Tier 1 disclosure sweep - CMR 2026-06-05</t>
        </is>
      </c>
      <c r="P10" s="14" t="inlineStr">
        <is>
          <t>2026-06-05</t>
        </is>
      </c>
    </row>
    <row r="11" ht="75" customHeight="1" s="26">
      <c r="A11" s="14" t="inlineStr">
        <is>
          <t>Pipeline / mandate evidence - research underlying vehicles</t>
        </is>
      </c>
      <c r="B11" s="14" t="inlineStr">
        <is>
          <t>RCAR unlisted-participation and real-estate management mandates</t>
        </is>
      </c>
      <c r="C11" s="14" t="inlineStr">
        <is>
          <t>CDG Invest; Ewane Assets; CDG Capital</t>
        </is>
      </c>
      <c r="D11" s="14" t="inlineStr">
        <is>
          <t>RCAR 2023 activity report says portfolio management framework included mandates with CDG Invest for unlisted participations and Ewane Assets for real estate.</t>
        </is>
      </c>
      <c r="E11" s="14" t="inlineStr">
        <is>
          <t>N/A</t>
        </is>
      </c>
      <c r="F11" s="14" t="inlineStr">
        <is>
          <t>Unlisted participations / real estate / financial assets</t>
        </is>
      </c>
      <c r="G11" s="14" t="inlineStr">
        <is>
          <t>Morocco</t>
        </is>
      </c>
      <c r="H11" s="14" t="n">
        <v>2023</v>
      </c>
      <c r="I11" s="14" t="inlineStr">
        <is>
          <t>Mandate evidence only; no named investment vehicle or ticket size found in initial sweep.</t>
        </is>
      </c>
      <c r="J11" s="14" t="inlineStr">
        <is>
          <t>M-H</t>
        </is>
      </c>
      <c r="K11" s="14" t="inlineStr">
        <is>
          <t>Keep out of Commitments Database until underlying vehicle/deal commitments are named; use as lead for CDG Invest/RCAR public-document review.</t>
        </is>
      </c>
      <c r="L11" s="14" t="inlineStr">
        <is>
          <t>Official RCAR report supports an unlisted-participation mandate but not a specific allocator-to-vehicle commitment.</t>
        </is>
      </c>
      <c r="M11" s="14" t="inlineStr">
        <is>
          <t>https://www.rcar.ma/uploads/rapport_dactivites/RA%20CNRA%20RCAR%202023%20VFr.pdf</t>
        </is>
      </c>
      <c r="N11" s="14" t="inlineStr">
        <is>
          <t>https://medias24.com/2024/05/15/retraites-la-cdg-dresse-le-bilan-de-la-cnra-et-du-rcac-au-titre-de-lannee-2023/</t>
        </is>
      </c>
      <c r="O11" s="14" t="inlineStr">
        <is>
          <t>Tier 1 disclosure sweep - RCAR 2026-06-05</t>
        </is>
      </c>
      <c r="P11" s="14" t="inlineStr">
        <is>
          <t>2026-06-05</t>
        </is>
      </c>
    </row>
    <row r="12" ht="75" customHeight="1" s="26">
      <c r="A12" s="14" t="inlineStr">
        <is>
          <t>Actioned - added to database 2026-06-23</t>
        </is>
      </c>
      <c r="B12" s="14" t="inlineStr">
        <is>
          <t>Ninety One Credit Fund - African Credit Opportunities Fund III</t>
        </is>
      </c>
      <c r="C12" s="14" t="inlineStr">
        <is>
          <t>Ninety One</t>
        </is>
      </c>
      <c r="D12" s="14" t="inlineStr">
        <is>
          <t>GEPF 2024/25 annual report says an allocation to the fund was approved during the financial year inside the Pan-African private markets/Isibaya portfolio.</t>
        </is>
      </c>
      <c r="E12" s="14" t="inlineStr">
        <is>
          <t>IFC; BII; SIFEM; Standard Bank debt facility; FinDev Canada</t>
        </is>
      </c>
      <c r="F12" s="14" t="inlineStr">
        <is>
          <t>Private credit / African credit opportunities</t>
        </is>
      </c>
      <c r="G12" s="14" t="inlineStr">
        <is>
          <t>Pan-Africa / Africa</t>
        </is>
      </c>
      <c r="H12" s="14" t="inlineStr">
        <is>
          <t>2024/25</t>
        </is>
      </c>
      <c r="I12" s="14" t="inlineStr">
        <is>
          <t>GEPF annual report confirms approved allocation; Ninety One first close USD 260m; GEPF amount not disclosed.</t>
        </is>
      </c>
      <c r="J12" s="14" t="inlineStr">
        <is>
          <t>H</t>
        </is>
      </c>
      <c r="K12" s="14" t="inlineStr">
        <is>
          <t>Added to Commitments Database, Source Library, Inclusion Audit, and fund-level co-investor view.</t>
        </is>
      </c>
      <c r="L12" s="14" t="inlineStr">
        <is>
          <t>Official GEPF report names a specific African private credit fund allocation approved in FY2024/25; GP/DFI sources confirm ACO Fund 3 first close and co-investor base.</t>
        </is>
      </c>
      <c r="M12" s="14" t="inlineStr">
        <is>
          <t>https://gepf.co.za/wp-content/uploads/2025/11/GEPF_AR_2025_digital.pdf</t>
        </is>
      </c>
      <c r="N12" s="14" t="inlineStr">
        <is>
          <t>https://ninetyone.com/en/newsroom/ninety-one-announces-usd260-million-first-close-of-aco-fund-3; https://www.findevcanada.ca/en/news/findev-canada-commits-usd-20-million-ninety-ones-africa-credit-opportunities-fund-iii-support</t>
        </is>
      </c>
      <c r="O12" s="14" t="inlineStr">
        <is>
          <t>Tier 1 disclosure sweep - GEPF/PIC 2026-06-05</t>
        </is>
      </c>
      <c r="P12" s="14" t="inlineStr">
        <is>
          <t>2026-06-05</t>
        </is>
      </c>
    </row>
    <row r="13" ht="60" customHeight="1" s="26">
      <c r="A13" s="14" t="inlineStr">
        <is>
          <t>Candidate - research vehicle identity / likely real-estate scope decision</t>
        </is>
      </c>
      <c r="B13" s="14" t="inlineStr">
        <is>
          <t>CNSS OPCI state-asset acquisition vehicle</t>
        </is>
      </c>
      <c r="C13" s="14" t="inlineStr">
        <is>
          <t>CNSS / OPCI manager TBC</t>
        </is>
      </c>
      <c r="D13" s="14" t="inlineStr">
        <is>
          <t>Local coverage says CNSS created an OPCI in 2024 dedicated to acquiring state assets under Morocco innovative-financing transactions.</t>
        </is>
      </c>
      <c r="E13" s="14" t="inlineStr">
        <is>
          <t>N/A</t>
        </is>
      </c>
      <c r="F13" s="14" t="inlineStr">
        <is>
          <t>Real estate / OPCI / state asset sale-leaseback</t>
        </is>
      </c>
      <c r="G13" s="14" t="inlineStr">
        <is>
          <t>Morocco</t>
        </is>
      </c>
      <c r="H13" s="14" t="n">
        <v>2024</v>
      </c>
      <c r="I13" s="14" t="inlineStr">
        <is>
          <t>Part of 2024 state asset sale proceeds; CNSS vehicle size not isolated in initial sweep.</t>
        </is>
      </c>
      <c r="J13" s="14" t="inlineStr">
        <is>
          <t>M</t>
        </is>
      </c>
      <c r="K13" s="14" t="inlineStr">
        <is>
          <t>Search AMMC OPCI register and state-domain annual report for vehicle name and transaction size; likely exclude unless real estate/OPCI vehicles are in scope.</t>
        </is>
      </c>
      <c r="L13" s="14" t="inlineStr">
        <is>
          <t>CNSS joined CDG/CMR as institutional investor in dedicated OPCI structure for state asset acquisitions, but named vehicle details are unresolved.</t>
        </is>
      </c>
      <c r="M13" s="14" t="inlineStr">
        <is>
          <t>https://medias24.com/2025/07/15/financements-innovants-35-mmdh-en-2024/</t>
        </is>
      </c>
      <c r="N13" s="14" t="inlineStr">
        <is>
          <t>https://www.ammc.ma/</t>
        </is>
      </c>
      <c r="O13" s="14" t="inlineStr">
        <is>
          <t>Tier 1 disclosure sweep - CNSS Morocco 2026-06-05</t>
        </is>
      </c>
      <c r="P13" s="14" t="inlineStr">
        <is>
          <t>2026-06-05</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265"/>
  <sheetViews>
    <sheetView zoomScaleNormal="100" workbookViewId="0">
      <pane ySplit="1" topLeftCell="A2" activePane="bottomLeft" state="frozen"/>
      <selection pane="bottomLeft" activeCell="A1" sqref="A1"/>
    </sheetView>
  </sheetViews>
  <sheetFormatPr baseColWidth="8" defaultColWidth="8.7109375" defaultRowHeight="15"/>
  <cols>
    <col width="22" customWidth="1" style="26" min="1" max="2"/>
    <col width="60" customWidth="1" style="26" min="3" max="3"/>
    <col width="16" customWidth="1" style="26" min="4" max="4"/>
    <col width="80" customWidth="1" style="26" min="5" max="5"/>
    <col width="50" customWidth="1" style="26" min="6" max="6"/>
  </cols>
  <sheetData>
    <row r="1" ht="15" customHeight="1" s="26">
      <c r="A1" s="1" t="inlineStr">
        <is>
          <t>Allocator</t>
        </is>
      </c>
      <c r="B1" s="1" t="inlineStr">
        <is>
          <t>Source type</t>
        </is>
      </c>
      <c r="C1" s="1" t="inlineStr">
        <is>
          <t>Title / publication</t>
        </is>
      </c>
      <c r="D1" s="1" t="inlineStr">
        <is>
          <t>Date accessed</t>
        </is>
      </c>
      <c r="E1" s="1" t="inlineStr">
        <is>
          <t>URL</t>
        </is>
      </c>
      <c r="F1" s="1" t="inlineStr">
        <is>
          <t>Used for</t>
        </is>
      </c>
      <c r="G1" t="inlineStr">
        <is>
          <t>Source ID</t>
        </is>
      </c>
    </row>
    <row r="2" ht="23.25" customHeight="1" s="26">
      <c r="A2" s="2" t="inlineStr">
        <is>
          <t>PIC</t>
        </is>
      </c>
      <c r="B2" s="2" t="inlineStr">
        <is>
          <t>Press release</t>
        </is>
      </c>
      <c r="C2" s="2" t="inlineStr">
        <is>
          <t>Africa50: PIC becomes 36th shareholder</t>
        </is>
      </c>
      <c r="D2" s="2" t="inlineStr">
        <is>
          <t>May 2026</t>
        </is>
      </c>
      <c r="E2" s="2" t="inlineStr">
        <is>
          <t>https://www.africa50.com/media/news/article/south-africas-public-investment-corporation-pic-becomes-36th-shareholder-of-africa50-with-a-us40-million-investment/</t>
        </is>
      </c>
      <c r="F2" s="2" t="inlineStr">
        <is>
          <t>PIC USD 40m Africa50 investment April 2025</t>
        </is>
      </c>
      <c r="G2" t="inlineStr">
        <is>
          <t>S001</t>
        </is>
      </c>
    </row>
    <row r="3" ht="15" customHeight="1" s="26">
      <c r="A3" s="2" t="inlineStr">
        <is>
          <t>PIC</t>
        </is>
      </c>
      <c r="B3" s="2" t="inlineStr">
        <is>
          <t>Corporate plan</t>
        </is>
      </c>
      <c r="C3" s="2" t="inlineStr">
        <is>
          <t>PIC Corporate Plan 2025/26 – 2027/28</t>
        </is>
      </c>
      <c r="D3" s="2" t="inlineStr">
        <is>
          <t>May 2026</t>
        </is>
      </c>
      <c r="E3" s="2" t="inlineStr">
        <is>
          <t>https://static.pmg.org.za/PIC_Corporate_Plan_2025.pdf</t>
        </is>
      </c>
      <c r="F3" s="2" t="inlineStr">
        <is>
          <t>PIC mandate restructuring; alts allocation programme</t>
        </is>
      </c>
      <c r="G3" t="inlineStr">
        <is>
          <t>S002</t>
        </is>
      </c>
    </row>
    <row r="4" ht="23.25" customHeight="1" s="26">
      <c r="A4" s="2" t="inlineStr">
        <is>
          <t>PIC</t>
        </is>
      </c>
      <c r="B4" s="2" t="inlineStr">
        <is>
          <t>Trade press</t>
        </is>
      </c>
      <c r="C4" s="2" t="inlineStr">
        <is>
          <t>Africa's Largest Investment Manager Plans Big Shift to Private Assets (MarketsGroup)</t>
        </is>
      </c>
      <c r="D4" s="2" t="inlineStr">
        <is>
          <t>May 2026</t>
        </is>
      </c>
      <c r="E4" s="2" t="inlineStr">
        <is>
          <t>https://www.marketsgroup.org/news/pic-plans-big-private-assets-shift</t>
        </is>
      </c>
      <c r="F4" s="2" t="inlineStr">
        <is>
          <t>PIC strategy shift toward private assets; prior R70bn PE allocation</t>
        </is>
      </c>
      <c r="G4" t="inlineStr">
        <is>
          <t>S003</t>
        </is>
      </c>
    </row>
    <row r="5" ht="23.25" customHeight="1" s="26">
      <c r="A5" s="2" t="inlineStr">
        <is>
          <t>NSIA</t>
        </is>
      </c>
      <c r="B5" s="2" t="inlineStr">
        <is>
          <t>Press release</t>
        </is>
      </c>
      <c r="C5" s="2" t="inlineStr">
        <is>
          <t>NSIA to invest in Africa50 Infrastructure Acceleration Fund</t>
        </is>
      </c>
      <c r="D5" s="2" t="inlineStr">
        <is>
          <t>May 2026</t>
        </is>
      </c>
      <c r="E5" s="2" t="inlineStr">
        <is>
          <t>https://nsia.com.ng/nigeria-sovereign-investment-authority-to-invest-in-africa50-infrastructure-acceleration-fund/</t>
        </is>
      </c>
      <c r="F5" s="2" t="inlineStr">
        <is>
          <t>NSIA latest fund LP investment Feb 2026</t>
        </is>
      </c>
      <c r="G5" t="inlineStr">
        <is>
          <t>S004</t>
        </is>
      </c>
    </row>
    <row r="6" ht="15" customHeight="1" s="26">
      <c r="A6" s="2" t="inlineStr">
        <is>
          <t>NSIA</t>
        </is>
      </c>
      <c r="B6" s="2" t="inlineStr">
        <is>
          <t>Profile</t>
        </is>
      </c>
      <c r="C6" s="2" t="inlineStr">
        <is>
          <t>NSIA Fund Profile – Global SWF</t>
        </is>
      </c>
      <c r="D6" s="2" t="inlineStr">
        <is>
          <t>May 2026</t>
        </is>
      </c>
      <c r="E6" s="2" t="inlineStr">
        <is>
          <t>https://globalswf.com/fund/NSIA</t>
        </is>
      </c>
      <c r="F6" s="2" t="inlineStr">
        <is>
          <t>NSIA AUM and sub-fund structure</t>
        </is>
      </c>
      <c r="G6" t="inlineStr">
        <is>
          <t>S005</t>
        </is>
      </c>
    </row>
    <row r="7" ht="23.25" customHeight="1" s="26">
      <c r="A7" s="2" t="inlineStr">
        <is>
          <t>NSIA</t>
        </is>
      </c>
      <c r="B7" s="2" t="inlineStr">
        <is>
          <t>DFI document</t>
        </is>
      </c>
      <c r="C7" s="2" t="inlineStr">
        <is>
          <t>AfDB Nigeria Sovereign Investment Authority Project Summary Note</t>
        </is>
      </c>
      <c r="D7" s="2" t="inlineStr">
        <is>
          <t>May 2026</t>
        </is>
      </c>
      <c r="E7" s="2" t="inlineStr">
        <is>
          <t>https://www.afdb.org/en/documents/nigeria-nigeria-sovereign-investment-authority-project-summary-note</t>
        </is>
      </c>
      <c r="F7" s="2" t="inlineStr">
        <is>
          <t>AfDB co-financing with NSIA</t>
        </is>
      </c>
      <c r="G7" t="inlineStr">
        <is>
          <t>S006</t>
        </is>
      </c>
    </row>
    <row r="8" ht="23.25" customHeight="1" s="26">
      <c r="A8" s="2" t="inlineStr">
        <is>
          <t>GIPF</t>
        </is>
      </c>
      <c r="B8" s="2" t="inlineStr">
        <is>
          <t>Allocator disclosure</t>
        </is>
      </c>
      <c r="C8" s="2" t="inlineStr">
        <is>
          <t>GIPF Unlisted Investments – Portfolio Overview</t>
        </is>
      </c>
      <c r="D8" s="2" t="inlineStr">
        <is>
          <t>May 2026</t>
        </is>
      </c>
      <c r="E8" s="2" t="inlineStr">
        <is>
          <t>https://www.gipf.com.na/unlisted-investments/</t>
        </is>
      </c>
      <c r="F8" s="2" t="inlineStr">
        <is>
          <t>GIPF alts portfolio detail (41 managers, 77 funds, 307 companies)</t>
        </is>
      </c>
      <c r="G8" t="inlineStr">
        <is>
          <t>S007</t>
        </is>
      </c>
    </row>
    <row r="9" ht="15" customHeight="1" s="26">
      <c r="A9" s="2" t="inlineStr">
        <is>
          <t>GIPF</t>
        </is>
      </c>
      <c r="B9" s="2" t="inlineStr">
        <is>
          <t>Trade press</t>
        </is>
      </c>
      <c r="C9" s="2" t="inlineStr">
        <is>
          <t>Get a share of GIPF's Unlisted Investment Portfolio (New Era Live)</t>
        </is>
      </c>
      <c r="D9" s="2" t="inlineStr">
        <is>
          <t>May 2026</t>
        </is>
      </c>
      <c r="E9" s="2" t="inlineStr">
        <is>
          <t>https://neweralive.na/get-a-share-of-gipfs-unlisted-investment-portfolio/</t>
        </is>
      </c>
      <c r="F9" s="2" t="inlineStr">
        <is>
          <t>GIPF alts portfolio size and structure</t>
        </is>
      </c>
      <c r="G9" t="inlineStr">
        <is>
          <t>S008</t>
        </is>
      </c>
    </row>
    <row r="10" ht="15" customHeight="1" s="26">
      <c r="A10" s="2" t="inlineStr">
        <is>
          <t>GIPF</t>
        </is>
      </c>
      <c r="B10" s="2" t="inlineStr">
        <is>
          <t>Allocator filing</t>
        </is>
      </c>
      <c r="C10" s="2" t="inlineStr">
        <is>
          <t>GIPF Investment Strategy and Policies</t>
        </is>
      </c>
      <c r="D10" s="2" t="inlineStr">
        <is>
          <t>May 2026</t>
        </is>
      </c>
      <c r="E10" s="2" t="inlineStr">
        <is>
          <t>https://www.gipf.com.na/investment-policies/</t>
        </is>
      </c>
      <c r="F10" s="2" t="inlineStr">
        <is>
          <t>Unlisted Investment Policy detail</t>
        </is>
      </c>
      <c r="G10" t="inlineStr">
        <is>
          <t>S009</t>
        </is>
      </c>
    </row>
    <row r="11" ht="23.25" customHeight="1" s="26">
      <c r="A11" s="2" t="inlineStr">
        <is>
          <t>Helios</t>
        </is>
      </c>
      <c r="B11" s="2" t="inlineStr">
        <is>
          <t>Trade press</t>
        </is>
      </c>
      <c r="C11" s="2" t="inlineStr">
        <is>
          <t>Africa-Focused Helios Secures Lineup of Investors for CLEAR Fund's $200M First Close</t>
        </is>
      </c>
      <c r="D11" s="2" t="inlineStr">
        <is>
          <t>May 2026</t>
        </is>
      </c>
      <c r="E11" s="2" t="inlineStr">
        <is>
          <t>https://globalaginvesting.com/africa-focused-helios-secures-lineup-of-investors-for-clear-funds-200m-first-close/</t>
        </is>
      </c>
      <c r="F11" s="2" t="inlineStr">
        <is>
          <t>Helios CLEAR Fund first close; African pension LPs cited generically</t>
        </is>
      </c>
      <c r="G11" t="inlineStr">
        <is>
          <t>S010</t>
        </is>
      </c>
    </row>
    <row r="12" ht="15" customHeight="1" s="26">
      <c r="A12" s="2" t="inlineStr">
        <is>
          <t>Helios</t>
        </is>
      </c>
      <c r="B12" s="2" t="inlineStr">
        <is>
          <t>Allocator disclosure</t>
        </is>
      </c>
      <c r="C12" s="2" t="inlineStr">
        <is>
          <t>Helios Investment Partners – Investments page</t>
        </is>
      </c>
      <c r="D12" s="2" t="inlineStr">
        <is>
          <t>May 2026</t>
        </is>
      </c>
      <c r="E12" s="2" t="inlineStr">
        <is>
          <t>https://www.heliosinvestment.com/investments</t>
        </is>
      </c>
      <c r="F12" s="2" t="inlineStr">
        <is>
          <t>Helios portfolio and LP composition</t>
        </is>
      </c>
      <c r="G12" t="inlineStr">
        <is>
          <t>S011</t>
        </is>
      </c>
    </row>
    <row r="13" ht="15" customHeight="1" s="26">
      <c r="A13" s="2" t="inlineStr">
        <is>
          <t>NSSF Uganda</t>
        </is>
      </c>
      <c r="B13" s="2" t="inlineStr">
        <is>
          <t>Allocator disclosure</t>
        </is>
      </c>
      <c r="C13" s="2" t="inlineStr">
        <is>
          <t>NSSF Uganda Investments</t>
        </is>
      </c>
      <c r="D13" s="2" t="inlineStr">
        <is>
          <t>May 2026</t>
        </is>
      </c>
      <c r="E13" s="2" t="inlineStr">
        <is>
          <t>https://www.nssfug.org/about-us/investments/</t>
        </is>
      </c>
      <c r="F13" s="2" t="inlineStr">
        <is>
          <t>NSSF Uganda investment beliefs and alts split</t>
        </is>
      </c>
      <c r="G13" t="inlineStr">
        <is>
          <t>S012</t>
        </is>
      </c>
    </row>
    <row r="14" ht="15" customHeight="1" s="26">
      <c r="A14" s="2" t="inlineStr">
        <is>
          <t>NSSF Uganda</t>
        </is>
      </c>
      <c r="B14" s="2" t="inlineStr">
        <is>
          <t>Allocator integrated report</t>
        </is>
      </c>
      <c r="C14" s="2" t="inlineStr">
        <is>
          <t>NSSF Uganda Integrated Report – Investment Beliefs</t>
        </is>
      </c>
      <c r="D14" s="2" t="inlineStr">
        <is>
          <t>May 2026</t>
        </is>
      </c>
      <c r="E14" s="2" t="inlineStr">
        <is>
          <t>https://nssfintegratedreport.com/investment-beliefs/</t>
        </is>
      </c>
      <c r="F14" s="2" t="inlineStr">
        <is>
          <t>NSSF Uganda alts allocation</t>
        </is>
      </c>
      <c r="G14" t="inlineStr">
        <is>
          <t>S013</t>
        </is>
      </c>
    </row>
    <row r="15" ht="23.25" customHeight="1" s="26">
      <c r="A15" s="2" t="inlineStr">
        <is>
          <t>NSSF Uganda</t>
        </is>
      </c>
      <c r="B15" s="2" t="inlineStr">
        <is>
          <t>Trade press</t>
        </is>
      </c>
      <c r="C15" s="2" t="inlineStr">
        <is>
          <t>Yield Uganda Investment Fund – Pearl Capital Partners page</t>
        </is>
      </c>
      <c r="D15" s="2" t="inlineStr">
        <is>
          <t>May 2026</t>
        </is>
      </c>
      <c r="E15" s="2" t="inlineStr">
        <is>
          <t>https://pearlcapital.net/yield-uganda-investments/</t>
        </is>
      </c>
      <c r="F15" s="2" t="inlineStr">
        <is>
          <t>Yield Uganda Investment Fund detail; NSSF Uganda founding LP</t>
        </is>
      </c>
      <c r="G15" t="inlineStr">
        <is>
          <t>S014</t>
        </is>
      </c>
    </row>
    <row r="16" ht="23.25" customHeight="1" s="26">
      <c r="A16" s="2" t="inlineStr">
        <is>
          <t>NSSF Uganda</t>
        </is>
      </c>
      <c r="B16" s="2" t="inlineStr">
        <is>
          <t>Trade press</t>
        </is>
      </c>
      <c r="C16" s="2" t="inlineStr">
        <is>
          <t>ImpactAlpha — Uganda's pension fund creates new savers via investments in small business and agriculture</t>
        </is>
      </c>
      <c r="D16" s="2" t="inlineStr">
        <is>
          <t>May 2026</t>
        </is>
      </c>
      <c r="E16" s="2" t="inlineStr">
        <is>
          <t>https://impactalpha.com/ugandas-pension-fund-is-creating-new-savers-with-investments-in-small-business-and-agriculture-video/</t>
        </is>
      </c>
      <c r="F16" s="2" t="inlineStr">
        <is>
          <t>NSSF Uganda's domestic alts strategy</t>
        </is>
      </c>
      <c r="G16" t="inlineStr">
        <is>
          <t>S015</t>
        </is>
      </c>
    </row>
    <row r="17" ht="15" customHeight="1" s="26">
      <c r="A17" s="2" t="inlineStr">
        <is>
          <t>BPOPF</t>
        </is>
      </c>
      <c r="B17" s="2" t="inlineStr">
        <is>
          <t>Trade press</t>
        </is>
      </c>
      <c r="C17" s="2" t="inlineStr">
        <is>
          <t>BPOPF seeks 'sweet spot' in alternative investments (Guardian Sun)</t>
        </is>
      </c>
      <c r="D17" s="2" t="inlineStr">
        <is>
          <t>May 2026</t>
        </is>
      </c>
      <c r="E17" s="2" t="inlineStr">
        <is>
          <t>https://guardiansun.co.bw/News/bpopf-seeks-sweet-spot-in-alternative-investments</t>
        </is>
      </c>
      <c r="F17" s="2" t="inlineStr">
        <is>
          <t>BPOPF alts strategy and target allocation</t>
        </is>
      </c>
      <c r="G17" t="inlineStr">
        <is>
          <t>S016</t>
        </is>
      </c>
    </row>
    <row r="18" ht="23.25" customHeight="1" s="26">
      <c r="A18" s="2" t="inlineStr">
        <is>
          <t>BPOPF</t>
        </is>
      </c>
      <c r="B18" s="2" t="inlineStr">
        <is>
          <t>Trade press</t>
        </is>
      </c>
      <c r="C18" s="2" t="inlineStr">
        <is>
          <t>BPOPF invests in private equity (Daily News Botswana)</t>
        </is>
      </c>
      <c r="D18" s="2" t="inlineStr">
        <is>
          <t>May 2026</t>
        </is>
      </c>
      <c r="E18" s="2" t="inlineStr">
        <is>
          <t>https://dailynews.gov.bw/news-detail/44405</t>
        </is>
      </c>
      <c r="F18" s="2" t="inlineStr">
        <is>
          <t>BPOPF Aleyo Capital and Africa Lighthouse 2017 commitments</t>
        </is>
      </c>
      <c r="G18" t="inlineStr">
        <is>
          <t>S017</t>
        </is>
      </c>
    </row>
    <row r="19" ht="23.25" customHeight="1" s="26">
      <c r="A19" s="2" t="inlineStr">
        <is>
          <t>BPOPF</t>
        </is>
      </c>
      <c r="B19" s="2" t="inlineStr">
        <is>
          <t>Research report</t>
        </is>
      </c>
      <c r="C19" s="2" t="inlineStr">
        <is>
          <t>SAVCA-FSDA Pension Funds, Private Equity and Private Debt in Southern Africa (2022)</t>
        </is>
      </c>
      <c r="D19" s="2" t="inlineStr">
        <is>
          <t>May 2026</t>
        </is>
      </c>
      <c r="E19" s="2" t="inlineStr">
        <is>
          <t>https://www.fsdafrica.org/wp-content/uploads/2022/08/SAVCA-Pension-fund-Study-22.08.22-2.pdf</t>
        </is>
      </c>
      <c r="F19" s="2" t="inlineStr">
        <is>
          <t>Southern African pension PE/PD allocation study; BPOPF, GIPF, GEPF coverage</t>
        </is>
      </c>
      <c r="G19" t="inlineStr">
        <is>
          <t>S018</t>
        </is>
      </c>
    </row>
    <row r="20" ht="23.25" customHeight="1" s="26">
      <c r="A20" s="2" t="inlineStr">
        <is>
          <t>FSDEA</t>
        </is>
      </c>
      <c r="B20" s="2" t="inlineStr">
        <is>
          <t>Trade press</t>
        </is>
      </c>
      <c r="C20" s="2" t="inlineStr">
        <is>
          <t>Gemcorp teams with Angola sovereign fund to launch pan-Africa infra vehicle (AltAssets)</t>
        </is>
      </c>
      <c r="D20" s="2" t="inlineStr">
        <is>
          <t>May 2026</t>
        </is>
      </c>
      <c r="E20" s="2" t="inlineStr">
        <is>
          <t>https://www.altassets.net/private-equity-news/by-region/africa-by-region/100206320.html</t>
        </is>
      </c>
      <c r="F20" s="2" t="inlineStr">
        <is>
          <t>FSDEA-Gemcorp pan-African infra fund partnership</t>
        </is>
      </c>
      <c r="G20" t="inlineStr">
        <is>
          <t>S019</t>
        </is>
      </c>
    </row>
    <row r="21" ht="15" customHeight="1" s="26">
      <c r="A21" s="2" t="inlineStr">
        <is>
          <t>FSDEA</t>
        </is>
      </c>
      <c r="B21" s="2" t="inlineStr">
        <is>
          <t>Profile</t>
        </is>
      </c>
      <c r="C21" s="2" t="inlineStr">
        <is>
          <t>FSDEA Fund Profile – Global SWF</t>
        </is>
      </c>
      <c r="D21" s="2" t="inlineStr">
        <is>
          <t>May 2026</t>
        </is>
      </c>
      <c r="E21" s="2" t="inlineStr">
        <is>
          <t>https://globalswf.com/fund/FSDEA</t>
        </is>
      </c>
      <c r="F21" s="2" t="inlineStr">
        <is>
          <t>FSDEA AUM and portfolio</t>
        </is>
      </c>
      <c r="G21" t="inlineStr">
        <is>
          <t>S020</t>
        </is>
      </c>
    </row>
    <row r="22" ht="15" customHeight="1" s="26">
      <c r="A22" s="2" t="inlineStr">
        <is>
          <t>FSDEA</t>
        </is>
      </c>
      <c r="B22" s="2" t="inlineStr">
        <is>
          <t>IFSWF assessment</t>
        </is>
      </c>
      <c r="C22" s="2" t="inlineStr">
        <is>
          <t>FSDEA 2022 – IFSWF Santiago Principles Assessment</t>
        </is>
      </c>
      <c r="D22" s="2" t="inlineStr">
        <is>
          <t>May 2026</t>
        </is>
      </c>
      <c r="E22" s="2" t="inlineStr">
        <is>
          <t>https://ifswf.org/assessment/fsdea-2022</t>
        </is>
      </c>
      <c r="F22" s="2" t="inlineStr">
        <is>
          <t>FSDEA governance, disclosure and investment policy</t>
        </is>
      </c>
      <c r="G22" t="inlineStr">
        <is>
          <t>S021</t>
        </is>
      </c>
    </row>
    <row r="23" ht="23.25" customHeight="1" s="26">
      <c r="A23" s="2" t="inlineStr">
        <is>
          <t>FSDEA</t>
        </is>
      </c>
      <c r="B23" s="2" t="inlineStr">
        <is>
          <t>Trade press</t>
        </is>
      </c>
      <c r="C23" s="2" t="inlineStr">
        <is>
          <t>Angola's SWF sets sights on alternatives (Euromoney)</t>
        </is>
      </c>
      <c r="D23" s="2" t="inlineStr">
        <is>
          <t>May 2026</t>
        </is>
      </c>
      <c r="E23" s="2" t="inlineStr">
        <is>
          <t>https://www.euromoney.com/article/27bjsstsqxhkmh0v9ilmz/banking/angolas-sovereign-wealth-fund-sets-sights-on-alternatives/</t>
        </is>
      </c>
      <c r="F23" s="2" t="inlineStr">
        <is>
          <t>FSDEA reset toward alternative assets</t>
        </is>
      </c>
      <c r="G23" t="inlineStr">
        <is>
          <t>S022</t>
        </is>
      </c>
    </row>
    <row r="24" ht="15" customHeight="1" s="26">
      <c r="A24" s="2" t="inlineStr">
        <is>
          <t>TSFE</t>
        </is>
      </c>
      <c r="B24" s="2" t="inlineStr">
        <is>
          <t>Allocator disclosure</t>
        </is>
      </c>
      <c r="C24" s="2" t="inlineStr">
        <is>
          <t>The Sovereign Fund of Egypt – Portfolio</t>
        </is>
      </c>
      <c r="D24" s="2" t="inlineStr">
        <is>
          <t>May 2026</t>
        </is>
      </c>
      <c r="E24" s="2" t="inlineStr">
        <is>
          <t>https://tsfe.com/press.html</t>
        </is>
      </c>
      <c r="F24" s="2" t="inlineStr">
        <is>
          <t>TSFE press releases and portfolio detail</t>
        </is>
      </c>
      <c r="G24" t="inlineStr">
        <is>
          <t>S023</t>
        </is>
      </c>
    </row>
    <row r="25" ht="15" customHeight="1" s="26">
      <c r="A25" s="2" t="inlineStr">
        <is>
          <t>TSFE</t>
        </is>
      </c>
      <c r="B25" s="2" t="inlineStr">
        <is>
          <t>Allocator disclosure</t>
        </is>
      </c>
      <c r="C25" s="2" t="inlineStr">
        <is>
          <t>TSFE Investment Approach</t>
        </is>
      </c>
      <c r="D25" s="2" t="inlineStr">
        <is>
          <t>May 2026</t>
        </is>
      </c>
      <c r="E25" s="2" t="inlineStr">
        <is>
          <t>https://tsfe.com/investmentApproach.html</t>
        </is>
      </c>
      <c r="F25" s="2" t="inlineStr">
        <is>
          <t>TSFE sub-fund structure and co-investment model</t>
        </is>
      </c>
      <c r="G25" t="inlineStr">
        <is>
          <t>S024</t>
        </is>
      </c>
    </row>
    <row r="26" ht="15" customHeight="1" s="26">
      <c r="A26" s="2" t="inlineStr">
        <is>
          <t>FONSIS</t>
        </is>
      </c>
      <c r="B26" s="2" t="inlineStr">
        <is>
          <t>Press release</t>
        </is>
      </c>
      <c r="C26" s="2" t="inlineStr">
        <is>
          <t>FONSIS launches Oyass Capital, a XOF 50bn fund</t>
        </is>
      </c>
      <c r="D26" s="2" t="inlineStr">
        <is>
          <t>May 2026</t>
        </is>
      </c>
      <c r="E26" s="2" t="inlineStr">
        <is>
          <t>https://www.fonsis.org/en/actualites/le-fonsis-lance-oyass-capital-un-fonds-de-50-milliards/</t>
        </is>
      </c>
      <c r="F26" s="2" t="inlineStr">
        <is>
          <t>Oyass Capital as FONSIS/KfW/World Bank-backed SME fund/financing vehicle; management mandate awarded to SEAF</t>
        </is>
      </c>
      <c r="G26" t="inlineStr">
        <is>
          <t>S025</t>
        </is>
      </c>
    </row>
    <row r="27" ht="23.25" customHeight="1" s="26">
      <c r="A27" s="2" t="inlineStr">
        <is>
          <t>FONSIS</t>
        </is>
      </c>
      <c r="B27" s="2" t="inlineStr">
        <is>
          <t>Trade press</t>
        </is>
      </c>
      <c r="C27" s="2" t="inlineStr">
        <is>
          <t>Development finance frontline: Senegal's Strategic Investments Fund (World Bank)</t>
        </is>
      </c>
      <c r="D27" s="2" t="inlineStr">
        <is>
          <t>May 2026</t>
        </is>
      </c>
      <c r="E27" s="2" t="inlineStr">
        <is>
          <t>https://blogs.worldbank.org/en/psd/development-finance-frontline-senegal-s-strategic-investments-fund</t>
        </is>
      </c>
      <c r="F27" s="2" t="inlineStr">
        <is>
          <t>FONSIS strategic-investment model</t>
        </is>
      </c>
      <c r="G27" t="inlineStr">
        <is>
          <t>S026</t>
        </is>
      </c>
    </row>
    <row r="28" ht="23.25" customHeight="1" s="26">
      <c r="A28" s="2" t="inlineStr">
        <is>
          <t>CDG Morocco</t>
        </is>
      </c>
      <c r="B28" s="2" t="inlineStr">
        <is>
          <t>Allocator disclosure</t>
        </is>
      </c>
      <c r="C28" s="2" t="inlineStr">
        <is>
          <t>CDG – Investment / CDG Invest Growth</t>
        </is>
      </c>
      <c r="D28" s="2" t="inlineStr">
        <is>
          <t>May 2026</t>
        </is>
      </c>
      <c r="E28" s="2" t="inlineStr">
        <is>
          <t>https://www.cdg.ma/en/investment-0</t>
        </is>
      </c>
      <c r="F28" s="2" t="inlineStr">
        <is>
          <t>CDG Invest funds (Fipar-Holding, Nama, CapMezzanine III, InfraMaroc)</t>
        </is>
      </c>
      <c r="G28" t="inlineStr">
        <is>
          <t>S027</t>
        </is>
      </c>
    </row>
    <row r="29" ht="23.25" customHeight="1" s="26">
      <c r="A29" s="2" t="inlineStr">
        <is>
          <t>CDG Morocco</t>
        </is>
      </c>
      <c r="B29" s="2" t="inlineStr">
        <is>
          <t>IFC press release</t>
        </is>
      </c>
      <c r="C29" s="2" t="inlineStr">
        <is>
          <t>IFC, Fipar-Holding, CDG support Retail Holding (Côte d'Ivoire + Morocco) 2024</t>
        </is>
      </c>
      <c r="D29" s="2" t="inlineStr">
        <is>
          <t>May 2026</t>
        </is>
      </c>
      <c r="E29" s="2" t="inlineStr">
        <is>
          <t>https://www.ifc.org/en/pressroom/2024/ifc-fipar-holding-cdg-support-retail-holding-to-expand-food-distribution</t>
        </is>
      </c>
      <c r="F29" s="2" t="inlineStr">
        <is>
          <t>CDG / Fipar-Holding 2024 cross-border investment</t>
        </is>
      </c>
      <c r="G29" t="inlineStr">
        <is>
          <t>S028</t>
        </is>
      </c>
    </row>
    <row r="30" ht="23.25" customHeight="1" s="26">
      <c r="A30" s="2" t="inlineStr">
        <is>
          <t>Mediterrania Capital</t>
        </is>
      </c>
      <c r="B30" s="2" t="inlineStr">
        <is>
          <t>GP press release</t>
        </is>
      </c>
      <c r="C30" s="2" t="inlineStr">
        <is>
          <t>Mediterrania Capital IV receives €20m from CDP Group</t>
        </is>
      </c>
      <c r="D30" s="2" t="inlineStr">
        <is>
          <t>May 2026</t>
        </is>
      </c>
      <c r="E30" s="2" t="inlineStr">
        <is>
          <t>https://www.mcapitalp.com/mediterrania-capital-iv-receives-a-e20-million-commitment-from-cassa-depositi-e-prestiti-s-p-a-cdp-group/</t>
        </is>
      </c>
      <c r="F30" s="2" t="inlineStr">
        <is>
          <t>Mediterrania Capital IV LP composition (CDP, not CDG, but useful for tracking)</t>
        </is>
      </c>
      <c r="G30" t="inlineStr">
        <is>
          <t>S029</t>
        </is>
      </c>
    </row>
    <row r="31" ht="34.5" customHeight="1" s="26">
      <c r="A31" s="2" t="inlineStr">
        <is>
          <t>ARM-Harith</t>
        </is>
      </c>
      <c r="B31" s="2" t="inlineStr">
        <is>
          <t>Press release</t>
        </is>
      </c>
      <c r="C31" s="2" t="inlineStr">
        <is>
          <t>ARM-Harith and FSD Africa Investments £10m commitment to unlock Nigerian pension funds</t>
        </is>
      </c>
      <c r="D31" s="2" t="inlineStr">
        <is>
          <t>May 2026</t>
        </is>
      </c>
      <c r="E31" s="2" t="inlineStr">
        <is>
          <t>https://fsdafrica.org/nairobi-15-april-2025-10am-eat-fsd-africa-investments-fsdai-the-uk-backed-specialist-development-finance-investor-is-investing-gbp-10-million-into-arm-hariths-climate-and-transition-in/</t>
        </is>
      </c>
      <c r="F31" s="2" t="inlineStr">
        <is>
          <t>ARM-Harith ACT Fund; designed to unlock Nigerian pension LPs</t>
        </is>
      </c>
      <c r="G31" t="inlineStr">
        <is>
          <t>S030</t>
        </is>
      </c>
    </row>
    <row r="32" ht="23.25" customHeight="1" s="26">
      <c r="A32" s="2" t="inlineStr">
        <is>
          <t>ARM-Harith</t>
        </is>
      </c>
      <c r="B32" s="2" t="inlineStr">
        <is>
          <t>Trade press</t>
        </is>
      </c>
      <c r="C32" s="2" t="inlineStr">
        <is>
          <t>Nigerian infrastructure investor gets catalytic commitment to unlock pension fund investment (ImpactAlpha)</t>
        </is>
      </c>
      <c r="D32" s="2" t="inlineStr">
        <is>
          <t>May 2026</t>
        </is>
      </c>
      <c r="E32" s="2" t="inlineStr">
        <is>
          <t>https://impactalpha.com/nigerian-infrastructure-investor-gets-catalytic-commitment-to-unlock-pension-fund-investment/</t>
        </is>
      </c>
      <c r="F32" s="2" t="inlineStr">
        <is>
          <t>ARM-Harith ACT Fund structure for pension FX risk mitigation</t>
        </is>
      </c>
      <c r="G32" t="inlineStr">
        <is>
          <t>S031</t>
        </is>
      </c>
    </row>
    <row r="33" ht="15" customHeight="1" s="26">
      <c r="A33" s="2" t="inlineStr">
        <is>
          <t>EPPF</t>
        </is>
      </c>
      <c r="B33" s="2" t="inlineStr">
        <is>
          <t>Allocator disclosure</t>
        </is>
      </c>
      <c r="C33" s="2" t="inlineStr">
        <is>
          <t>EPPF investment strategy – Top1000funds.com profile</t>
        </is>
      </c>
      <c r="D33" s="2" t="inlineStr">
        <is>
          <t>May 2026</t>
        </is>
      </c>
      <c r="E33" s="2" t="inlineStr">
        <is>
          <t>https://www.top1000funds.com/asset_owner/eskom-pension-and-provident-fund-eppf/</t>
        </is>
      </c>
      <c r="F33" s="2" t="inlineStr">
        <is>
          <t>EPPF alts allocation; 10%+ to alternatives, ~4% to PE</t>
        </is>
      </c>
      <c r="G33" t="inlineStr">
        <is>
          <t>S032</t>
        </is>
      </c>
    </row>
    <row r="34" ht="23.25" customHeight="1" s="26">
      <c r="A34" s="2" t="inlineStr">
        <is>
          <t>EPPF</t>
        </is>
      </c>
      <c r="B34" s="2" t="inlineStr">
        <is>
          <t>Trade press</t>
        </is>
      </c>
      <c r="C34" s="2" t="inlineStr">
        <is>
          <t>EPPF builds resilience in governance-focused strategy (Top1000funds)</t>
        </is>
      </c>
      <c r="D34" s="2" t="inlineStr">
        <is>
          <t>May 2026</t>
        </is>
      </c>
      <c r="E34" s="2" t="inlineStr">
        <is>
          <t>https://www.top1000funds.com/2023/08/south-africas-eppf-builds-resilience-in-governance-focused-strategy/</t>
        </is>
      </c>
      <c r="F34" s="2" t="inlineStr">
        <is>
          <t>EPPF strategy direction and PE allocation</t>
        </is>
      </c>
      <c r="G34" t="inlineStr">
        <is>
          <t>S033</t>
        </is>
      </c>
    </row>
    <row r="35" ht="15" customHeight="1" s="26">
      <c r="A35" s="2" t="inlineStr">
        <is>
          <t>SSNIT</t>
        </is>
      </c>
      <c r="B35" s="2" t="inlineStr">
        <is>
          <t>Annual report</t>
        </is>
      </c>
      <c r="C35" s="2" t="inlineStr">
        <is>
          <t>SSNIT 2022 Annual Report</t>
        </is>
      </c>
      <c r="D35" s="2" t="inlineStr">
        <is>
          <t>May 2026</t>
        </is>
      </c>
      <c r="E35" s="2" t="inlineStr">
        <is>
          <t>https://www.ssnit.org.gh/wp-content/uploads/2025/10/Annual-Reportfnal-2022.pdf</t>
        </is>
      </c>
      <c r="F35" s="2" t="inlineStr">
        <is>
          <t>SSNIT portfolio composition; alts share</t>
        </is>
      </c>
      <c r="G35" t="inlineStr">
        <is>
          <t>S034</t>
        </is>
      </c>
    </row>
    <row r="36" ht="15" customHeight="1" s="26">
      <c r="A36" s="2" t="inlineStr">
        <is>
          <t>SSNIT</t>
        </is>
      </c>
      <c r="B36" s="2" t="inlineStr">
        <is>
          <t>Trade press</t>
        </is>
      </c>
      <c r="C36" s="2" t="inlineStr">
        <is>
          <t>SSNIT shifts investment strategy (B&amp;FT)</t>
        </is>
      </c>
      <c r="D36" s="2" t="inlineStr">
        <is>
          <t>May 2026</t>
        </is>
      </c>
      <c r="E36" s="2" t="inlineStr">
        <is>
          <t>https://thebftonline.com/2024/07/04/ssnit-shifts-investment-strategy/</t>
        </is>
      </c>
      <c r="F36" s="2" t="inlineStr">
        <is>
          <t>SSNIT 2024 rebalancing announcement</t>
        </is>
      </c>
      <c r="G36" t="inlineStr">
        <is>
          <t>S035</t>
        </is>
      </c>
    </row>
    <row r="37" ht="23.25" customHeight="1" s="26">
      <c r="A37" s="2" t="inlineStr">
        <is>
          <t>PenCom Nigeria</t>
        </is>
      </c>
      <c r="B37" s="2" t="inlineStr">
        <is>
          <t>Regulator filing</t>
        </is>
      </c>
      <c r="C37" s="2" t="inlineStr">
        <is>
          <t>PenCom Revised Regulation on Investment of Pension Fund Assets</t>
        </is>
      </c>
      <c r="D37" s="2" t="inlineStr">
        <is>
          <t>May 2026</t>
        </is>
      </c>
      <c r="E37" s="2" t="inlineStr">
        <is>
          <t>https://www.pencom.gov.ng/wp-content/uploads/2025/09/The-Revised-Regulation-on-Investment-of-Pension-Fund-Assets.pdf</t>
        </is>
      </c>
      <c r="F37" s="2" t="inlineStr">
        <is>
          <t>Nigerian PFA investment limits including alts</t>
        </is>
      </c>
      <c r="G37" t="inlineStr">
        <is>
          <t>S036</t>
        </is>
      </c>
    </row>
    <row r="38" ht="15" customHeight="1" s="26">
      <c r="A38" s="2" t="inlineStr">
        <is>
          <t>PenCom Nigeria</t>
        </is>
      </c>
      <c r="B38" s="2" t="inlineStr">
        <is>
          <t>Regulator filing</t>
        </is>
      </c>
      <c r="C38" s="2" t="inlineStr">
        <is>
          <t>PenCom Q1 2025 Report</t>
        </is>
      </c>
      <c r="D38" s="2" t="inlineStr">
        <is>
          <t>May 2026</t>
        </is>
      </c>
      <c r="E38" s="2" t="inlineStr">
        <is>
          <t>https://www.pencom.gov.ng/wp-content/uploads/2025/08/Q1-2025-report-FINAL-COPY-1.pdf</t>
        </is>
      </c>
      <c r="F38" s="2" t="inlineStr">
        <is>
          <t>Nigerian PFA aggregate portfolio composition</t>
        </is>
      </c>
      <c r="G38" t="inlineStr">
        <is>
          <t>S037</t>
        </is>
      </c>
    </row>
    <row r="39" ht="15" customHeight="1" s="26">
      <c r="A39" s="2" t="inlineStr">
        <is>
          <t>AVCA</t>
        </is>
      </c>
      <c r="B39" s="2" t="inlineStr">
        <is>
          <t>Industry research</t>
        </is>
      </c>
      <c r="C39" s="2" t="inlineStr">
        <is>
          <t>AVCA Limited Partner Survey</t>
        </is>
      </c>
      <c r="D39" s="2" t="inlineStr">
        <is>
          <t>May 2026</t>
        </is>
      </c>
      <c r="E39" s="2" t="inlineStr">
        <is>
          <t>https://www.avca.africa/data-intelligence/research-publications/avca-limited-partner-survey/</t>
        </is>
      </c>
      <c r="F39" s="2" t="inlineStr">
        <is>
          <t>Industry LP survey aggregates</t>
        </is>
      </c>
      <c r="G39" t="inlineStr">
        <is>
          <t>S038</t>
        </is>
      </c>
    </row>
    <row r="40" ht="23.25" customHeight="1" s="26">
      <c r="A40" s="2" t="inlineStr">
        <is>
          <t>AVCA</t>
        </is>
      </c>
      <c r="B40" s="2" t="inlineStr">
        <is>
          <t>Industry research</t>
        </is>
      </c>
      <c r="C40" s="2" t="inlineStr">
        <is>
          <t>2024 African Private Capital Activity Report</t>
        </is>
      </c>
      <c r="D40" s="2" t="inlineStr">
        <is>
          <t>May 2026</t>
        </is>
      </c>
      <c r="E40" s="2" t="inlineStr">
        <is>
          <t>https://www.avca.africa/data-intelligence/research-publications/2024-african-private-capital-activity-report/</t>
        </is>
      </c>
      <c r="F40" s="2" t="inlineStr">
        <is>
          <t>African PE/VC deal and fundraising data</t>
        </is>
      </c>
      <c r="G40" t="inlineStr">
        <is>
          <t>S039</t>
        </is>
      </c>
    </row>
    <row r="41" ht="15" customHeight="1" s="26">
      <c r="A41" s="2" t="inlineStr">
        <is>
          <t>NSSF Kenya</t>
        </is>
      </c>
      <c r="B41" s="2" t="inlineStr">
        <is>
          <t>Trade press</t>
        </is>
      </c>
      <c r="C41" s="2" t="inlineStr">
        <is>
          <t>Cytonn Retirement Benefits Schemes 2024 Performance Note</t>
        </is>
      </c>
      <c r="D41" s="2" t="inlineStr">
        <is>
          <t>May 2026</t>
        </is>
      </c>
      <c r="E41" s="2" t="inlineStr">
        <is>
          <t>https://cytonn.com/uploads/downloads/retirement-benefits-schemes-performance-note-vf.pdf</t>
        </is>
      </c>
      <c r="F41" s="2" t="inlineStr">
        <is>
          <t>NSSF Kenya asset mix; PE allocation 597.8% YoY growth</t>
        </is>
      </c>
      <c r="G41" t="inlineStr">
        <is>
          <t>S040</t>
        </is>
      </c>
    </row>
    <row r="42" ht="15" customHeight="1" s="26">
      <c r="A42" s="2" t="inlineStr">
        <is>
          <t>RBA Kenya</t>
        </is>
      </c>
      <c r="B42" s="2" t="inlineStr">
        <is>
          <t>Regulator filing</t>
        </is>
      </c>
      <c r="C42" s="2" t="inlineStr">
        <is>
          <t>RBA Industry Brief December 2024</t>
        </is>
      </c>
      <c r="D42" s="2" t="inlineStr">
        <is>
          <t>May 2026</t>
        </is>
      </c>
      <c r="E42" s="2" t="inlineStr">
        <is>
          <t>https://www.rba.go.ke/download/industry-brief-as-at-december-2024/</t>
        </is>
      </c>
      <c r="F42" s="2" t="inlineStr">
        <is>
          <t>Kenya pension industry aggregate composition</t>
        </is>
      </c>
      <c r="G42" t="inlineStr">
        <is>
          <t>S041</t>
        </is>
      </c>
    </row>
    <row r="43" ht="15" customHeight="1" s="26">
      <c r="A43" s="2" t="inlineStr">
        <is>
          <t>RBA Kenya</t>
        </is>
      </c>
      <c r="B43" s="2" t="inlineStr">
        <is>
          <t>Regulator filing</t>
        </is>
      </c>
      <c r="C43" s="2" t="inlineStr">
        <is>
          <t>RBA Retirement Benefits Industry Report June 2024</t>
        </is>
      </c>
      <c r="D43" s="2" t="inlineStr">
        <is>
          <t>May 2026</t>
        </is>
      </c>
      <c r="E43" s="2" t="inlineStr">
        <is>
          <t>https://www.rba.go.ke/download/retirement-benefits-industry-report-june-2024/</t>
        </is>
      </c>
      <c r="F43" s="2" t="inlineStr">
        <is>
          <t>Kenya retirement benefits industry composition</t>
        </is>
      </c>
      <c r="G43" t="inlineStr">
        <is>
          <t>S042</t>
        </is>
      </c>
    </row>
    <row r="44" ht="23.25" customHeight="1" s="26">
      <c r="A44" s="2" t="inlineStr">
        <is>
          <t>RBA Kenya</t>
        </is>
      </c>
      <c r="B44" s="2" t="inlineStr">
        <is>
          <t>Legal analysis</t>
        </is>
      </c>
      <c r="C44" s="2" t="inlineStr">
        <is>
          <t>Oraro &amp; Co. — 'A Hand Full of Aces': PE/VC Investment Options for Kenyan Pension Schemes</t>
        </is>
      </c>
      <c r="D44" s="2" t="inlineStr">
        <is>
          <t>May 2026</t>
        </is>
      </c>
      <c r="E44" s="2" t="inlineStr">
        <is>
          <t>https://www.oraro.co.ke/a-hand-full-of-aces-investment-options-in-private-equity-and-venture-capital-firms-for-pension-schemes-in-kenya/</t>
        </is>
      </c>
      <c r="F44" s="2" t="inlineStr">
        <is>
          <t>Kenyan regulatory framework for pension PE/VC</t>
        </is>
      </c>
      <c r="G44" t="inlineStr">
        <is>
          <t>S043</t>
        </is>
      </c>
    </row>
    <row r="45" ht="23.25" customHeight="1" s="26">
      <c r="A45" s="2" t="inlineStr">
        <is>
          <t>NSSF Kenya</t>
        </is>
      </c>
      <c r="B45" s="2" t="inlineStr">
        <is>
          <t>Trade press</t>
        </is>
      </c>
      <c r="C45" s="2" t="inlineStr">
        <is>
          <t>NSSF targets private equity as it eyes Sh1 trillion in net assets (Breaking Kenya News)</t>
        </is>
      </c>
      <c r="D45" s="2" t="inlineStr">
        <is>
          <t>May 2026</t>
        </is>
      </c>
      <c r="E45" s="2" t="inlineStr">
        <is>
          <t>https://www.breakingkenyanews.com/2026/04/29/nssf-targets-private-equity-as-it-eyes-sh1-trillion-in-net-assets/</t>
        </is>
      </c>
      <c r="F45" s="2" t="inlineStr">
        <is>
          <t>NSSF MD David Koros statements on PE prioritisation</t>
        </is>
      </c>
      <c r="G45" t="inlineStr">
        <is>
          <t>S044</t>
        </is>
      </c>
    </row>
    <row r="46" ht="23.25" customHeight="1" s="26">
      <c r="A46" s="2" t="inlineStr">
        <is>
          <t>POESSA Ethiopia</t>
        </is>
      </c>
      <c r="B46" s="2" t="inlineStr">
        <is>
          <t>Trade press</t>
        </is>
      </c>
      <c r="C46" s="2" t="inlineStr">
        <is>
          <t>The Reporter Ethiopia — Pension Fund Eyes Securities Exchange (POESSA investment clause)</t>
        </is>
      </c>
      <c r="D46" s="2" t="inlineStr">
        <is>
          <t>May 2026</t>
        </is>
      </c>
      <c r="E46" s="2" t="inlineStr">
        <is>
          <t>https://www.thereporterethiopia.com/48983</t>
        </is>
      </c>
      <c r="F46" s="2" t="inlineStr">
        <is>
          <t>POESSA 2022 statutory liberalisation</t>
        </is>
      </c>
      <c r="G46" t="inlineStr">
        <is>
          <t>S045</t>
        </is>
      </c>
    </row>
    <row r="47" ht="15" customHeight="1" s="26">
      <c r="A47" s="2" t="inlineStr">
        <is>
          <t>Ethiopia pension system</t>
        </is>
      </c>
      <c r="B47" s="2" t="inlineStr">
        <is>
          <t>DFI document</t>
        </is>
      </c>
      <c r="C47" s="2" t="inlineStr">
        <is>
          <t>Ethiopia ILO mapping of National Social Protection System</t>
        </is>
      </c>
      <c r="D47" s="2" t="inlineStr">
        <is>
          <t>May 2026</t>
        </is>
      </c>
      <c r="E47" s="2" t="inlineStr">
        <is>
          <t>https://www.ilo.org/media/381431/download</t>
        </is>
      </c>
      <c r="F47" s="2" t="inlineStr">
        <is>
          <t>Ethiopian pension regulatory environment</t>
        </is>
      </c>
      <c r="G47" t="inlineStr">
        <is>
          <t>S046</t>
        </is>
      </c>
    </row>
    <row r="48" ht="34.5" customHeight="1" s="26">
      <c r="A48" s="2" t="inlineStr">
        <is>
          <t>Ethiopia pension system</t>
        </is>
      </c>
      <c r="B48" s="2" t="inlineStr">
        <is>
          <t>DFI document</t>
        </is>
      </c>
      <c r="C48" s="2" t="inlineStr">
        <is>
          <t>Ethiopia: Workshop on actuarial valuation of PSSSA and POESSA</t>
        </is>
      </c>
      <c r="D48" s="2" t="inlineStr">
        <is>
          <t>May 2026</t>
        </is>
      </c>
      <c r="E48" s="2" t="inlineStr">
        <is>
          <t>https://socialprotection-pfm.org/actuarial-valuation-reports-of-the-public-servants-social-security-agency-psssa-and-the-private-organizations-employees-social-security-agency-poessa-of-ethiopia-dissemination-w/</t>
        </is>
      </c>
      <c r="F48" s="2" t="inlineStr">
        <is>
          <t>Recent actuarial dissemination for the two Ethiopian SSAs</t>
        </is>
      </c>
      <c r="G48" t="inlineStr">
        <is>
          <t>S047</t>
        </is>
      </c>
    </row>
    <row r="49" ht="15" customHeight="1" s="26">
      <c r="A49" s="2" t="inlineStr">
        <is>
          <t>PSSSF Tanzania</t>
        </is>
      </c>
      <c r="B49" s="2" t="inlineStr">
        <is>
          <t>Regulator filing</t>
        </is>
      </c>
      <c r="C49" s="2" t="inlineStr">
        <is>
          <t>PSSSF official website</t>
        </is>
      </c>
      <c r="D49" s="2" t="inlineStr">
        <is>
          <t>May 2026</t>
        </is>
      </c>
      <c r="E49" s="2" t="inlineStr">
        <is>
          <t>https://www.psssf.go.tz/</t>
        </is>
      </c>
      <c r="F49" s="2" t="inlineStr">
        <is>
          <t>PSSSF investment guidelines reference</t>
        </is>
      </c>
      <c r="G49" t="inlineStr">
        <is>
          <t>S048</t>
        </is>
      </c>
    </row>
    <row r="50" ht="15" customHeight="1" s="26">
      <c r="A50" s="2" t="inlineStr">
        <is>
          <t>PSSSF Tanzania</t>
        </is>
      </c>
      <c r="B50" s="2" t="inlineStr">
        <is>
          <t>DFI partnership</t>
        </is>
      </c>
      <c r="C50" s="2" t="inlineStr">
        <is>
          <t>PSSSF Tanzania Agricultural Development Bank partnership</t>
        </is>
      </c>
      <c r="D50" s="2" t="inlineStr">
        <is>
          <t>May 2026</t>
        </is>
      </c>
      <c r="E50" s="2" t="inlineStr">
        <is>
          <t>https://www.tadb.co.tz/en/partners/public-service-social-security-fund-psssf</t>
        </is>
      </c>
      <c r="F50" s="2" t="inlineStr">
        <is>
          <t>PSSSF–TADB direct partnership instead of fund LP</t>
        </is>
      </c>
      <c r="G50" t="inlineStr">
        <is>
          <t>S049</t>
        </is>
      </c>
    </row>
    <row r="51" ht="23.25" customHeight="1" s="26">
      <c r="A51" s="2" t="inlineStr">
        <is>
          <t>NOSI Egypt</t>
        </is>
      </c>
      <c r="B51" s="2" t="inlineStr">
        <is>
          <t>Academic analysis</t>
        </is>
      </c>
      <c r="C51" s="2" t="inlineStr">
        <is>
          <t>Loewe (2024) — Social Security in Egypt: An Analysis and Agenda for Policy Reform (IDOS)</t>
        </is>
      </c>
      <c r="D51" s="2" t="inlineStr">
        <is>
          <t>May 2026</t>
        </is>
      </c>
      <c r="E51" s="2" t="inlineStr">
        <is>
          <t>https://www.idos-research.de/uploads/media/2024.pdf</t>
        </is>
      </c>
      <c r="F51" s="2" t="inlineStr">
        <is>
          <t>Egyptian pension regulatory constraint (1% capital-market cap; surplus-to-NIB rule)</t>
        </is>
      </c>
      <c r="G51" t="inlineStr">
        <is>
          <t>S050</t>
        </is>
      </c>
    </row>
    <row r="52" ht="15" customHeight="1" s="26">
      <c r="A52" s="2" t="inlineStr">
        <is>
          <t>NOSI Egypt</t>
        </is>
      </c>
      <c r="B52" s="2" t="inlineStr">
        <is>
          <t>Industry case study</t>
        </is>
      </c>
      <c r="C52" s="2" t="inlineStr">
        <is>
          <t>IBM NOSI digital transformation case study</t>
        </is>
      </c>
      <c r="D52" s="2" t="inlineStr">
        <is>
          <t>May 2026</t>
        </is>
      </c>
      <c r="E52" s="2" t="inlineStr">
        <is>
          <t>https://www.ibm.com/case-studies/national-organization-for-social-insurance</t>
        </is>
      </c>
      <c r="F52" s="2" t="inlineStr">
        <is>
          <t>NOSI structure and scope</t>
        </is>
      </c>
      <c r="G52" t="inlineStr">
        <is>
          <t>S051</t>
        </is>
      </c>
    </row>
    <row r="53" ht="23.25" customHeight="1" s="26">
      <c r="A53" s="2" t="inlineStr">
        <is>
          <t>South Africa Reg 28</t>
        </is>
      </c>
      <c r="B53" s="2" t="inlineStr">
        <is>
          <t>Regulator filing</t>
        </is>
      </c>
      <c r="C53" s="2" t="inlineStr">
        <is>
          <t>National Treasury — Regulation 28 amendments published 5 July 2022</t>
        </is>
      </c>
      <c r="D53" s="2" t="inlineStr">
        <is>
          <t>May 2026</t>
        </is>
      </c>
      <c r="E53" s="2" t="inlineStr">
        <is>
          <t>https://www.treasury.gov.za/comm_media/press/2022/2022070501%20Published%20Amendments%20to%20Reg%2028.pdf</t>
        </is>
      </c>
      <c r="F53" s="2" t="inlineStr">
        <is>
          <t>Reg 28 PE cap raised from 10% to 15% effective Jan 2023</t>
        </is>
      </c>
      <c r="G53" t="inlineStr">
        <is>
          <t>S052</t>
        </is>
      </c>
    </row>
    <row r="54" ht="15" customHeight="1" s="26">
      <c r="A54" s="2" t="inlineStr">
        <is>
          <t>South Africa Reg 28</t>
        </is>
      </c>
      <c r="B54" s="2" t="inlineStr">
        <is>
          <t>Trade press</t>
        </is>
      </c>
      <c r="C54" s="2" t="inlineStr">
        <is>
          <t>RMB — Reg 28 amendments offer clarity and regulatory certainty</t>
        </is>
      </c>
      <c r="D54" s="2" t="inlineStr">
        <is>
          <t>May 2026</t>
        </is>
      </c>
      <c r="E54" s="2" t="inlineStr">
        <is>
          <t>https://www.rmb.co.za/news/reg-28-amendments-offers-clarity-and-regulatory-certainty</t>
        </is>
      </c>
      <c r="F54" s="2" t="inlineStr">
        <is>
          <t>Industry interpretation of Reg 28 changes</t>
        </is>
      </c>
      <c r="G54" t="inlineStr">
        <is>
          <t>S053</t>
        </is>
      </c>
    </row>
    <row r="55" ht="15" customHeight="1" s="26">
      <c r="A55" s="2" t="inlineStr">
        <is>
          <t>South Africa Reg 28</t>
        </is>
      </c>
      <c r="B55" s="2" t="inlineStr">
        <is>
          <t>Trade press</t>
        </is>
      </c>
      <c r="C55" s="2" t="inlineStr">
        <is>
          <t>Glacier Insights — Shedding light on Regulation 28 amendments</t>
        </is>
      </c>
      <c r="D55" s="2" t="inlineStr">
        <is>
          <t>May 2026</t>
        </is>
      </c>
      <c r="E55" s="2" t="inlineStr">
        <is>
          <t>https://www.glacierinsights.co.za/blog/articles/regulation-28-amendments</t>
        </is>
      </c>
      <c r="F55" s="2" t="inlineStr">
        <is>
          <t>Detailed Reg 28 breakdown</t>
        </is>
      </c>
      <c r="G55" t="inlineStr">
        <is>
          <t>S054</t>
        </is>
      </c>
    </row>
    <row r="56" ht="23.25" customHeight="1" s="26">
      <c r="A56" s="2" t="inlineStr">
        <is>
          <t>PenCom Nigeria</t>
        </is>
      </c>
      <c r="B56" s="2" t="inlineStr">
        <is>
          <t>Regulator filing</t>
        </is>
      </c>
      <c r="C56" s="2" t="inlineStr">
        <is>
          <t>PenCom 2019 Regulation on Investment of Pension Fund Assets (predecessor)</t>
        </is>
      </c>
      <c r="D56" s="2" t="inlineStr">
        <is>
          <t>May 2026</t>
        </is>
      </c>
      <c r="E56" s="2" t="inlineStr">
        <is>
          <t>https://www.pencom.gov.ng/wp-content/uploads/2019/01/AMENDED-INVESTMENT-REGULATION-FEBRUARY-2019-.pdf</t>
        </is>
      </c>
      <c r="F56" s="2" t="inlineStr">
        <is>
          <t>Pre-2025 PenCom regulation</t>
        </is>
      </c>
      <c r="G56" t="inlineStr">
        <is>
          <t>S055</t>
        </is>
      </c>
    </row>
    <row r="57" ht="23.25" customHeight="1" s="26">
      <c r="A57" s="2" t="inlineStr">
        <is>
          <t>PenCom Nigeria</t>
        </is>
      </c>
      <c r="B57" s="2" t="inlineStr">
        <is>
          <t>Trade press</t>
        </is>
      </c>
      <c r="C57" s="2" t="inlineStr">
        <is>
          <t>Nigeria pension rules unlock infrastructure and private equity (TheCondia, Aug 2025)</t>
        </is>
      </c>
      <c r="D57" s="2" t="inlineStr">
        <is>
          <t>May 2026</t>
        </is>
      </c>
      <c r="E57" s="2" t="inlineStr">
        <is>
          <t>https://thecondia.com/nigeria-pension-rules-private-equity/</t>
        </is>
      </c>
      <c r="F57" s="2" t="inlineStr">
        <is>
          <t>Coverage of PenCom 2025 revision</t>
        </is>
      </c>
      <c r="G57" t="inlineStr">
        <is>
          <t>S056</t>
        </is>
      </c>
    </row>
    <row r="58" ht="23.25" customHeight="1" s="26">
      <c r="A58" s="2" t="inlineStr">
        <is>
          <t>PenCom Nigeria</t>
        </is>
      </c>
      <c r="B58" s="2" t="inlineStr">
        <is>
          <t>Trade press</t>
        </is>
      </c>
      <c r="C58" s="2" t="inlineStr">
        <is>
          <t>Nairametrics — PenCom raises equity investment limits Feb 2026 addendum</t>
        </is>
      </c>
      <c r="D58" s="2" t="inlineStr">
        <is>
          <t>May 2026</t>
        </is>
      </c>
      <c r="E58" s="2" t="inlineStr">
        <is>
          <t>http://nairametrics.com/2026/02/10/pencom-raises-equity-investment-limits-for-rsa-funds-to-ease-liquidity-pressure/</t>
        </is>
      </c>
      <c r="F58" s="2" t="inlineStr">
        <is>
          <t>PenCom Feb 2026 addendum to investment regulation</t>
        </is>
      </c>
      <c r="G58" t="inlineStr">
        <is>
          <t>S057</t>
        </is>
      </c>
    </row>
    <row r="59" ht="23.25" customHeight="1" s="26">
      <c r="A59" s="2" t="inlineStr">
        <is>
          <t>URBRA Uganda</t>
        </is>
      </c>
      <c r="B59" s="2" t="inlineStr">
        <is>
          <t>Regulator filing</t>
        </is>
      </c>
      <c r="C59" s="2" t="inlineStr">
        <is>
          <t>URBRA Investment Trends in Uganda Retirement Benefits Sector (Aug 2025)</t>
        </is>
      </c>
      <c r="D59" s="2" t="inlineStr">
        <is>
          <t>May 2026</t>
        </is>
      </c>
      <c r="E59" s="2" t="inlineStr">
        <is>
          <t>https://urbra.go.ug/2025/08/11/balancing-risk-and-returns-investment-trends-in-the-uganda-retirement-benefits-sector/</t>
        </is>
      </c>
      <c r="F59" s="2" t="inlineStr">
        <is>
          <t>URBRA investment guidelines and PE 15% cap in EAC</t>
        </is>
      </c>
      <c r="G59" t="inlineStr">
        <is>
          <t>S058</t>
        </is>
      </c>
    </row>
    <row r="60" ht="23.25" customHeight="1" s="26">
      <c r="A60" s="2" t="inlineStr">
        <is>
          <t>URBRA Uganda</t>
        </is>
      </c>
      <c r="B60" s="2" t="inlineStr">
        <is>
          <t>Regulator filing</t>
        </is>
      </c>
      <c r="C60" s="2" t="inlineStr">
        <is>
          <t>URBRA — record growth UGX30 trillion (Mar 2026)</t>
        </is>
      </c>
      <c r="D60" s="2" t="inlineStr">
        <is>
          <t>May 2026</t>
        </is>
      </c>
      <c r="E60" s="2" t="inlineStr">
        <is>
          <t>https://urbra.go.ug/2026/03/10/record-growth-sustainability-challenge-ugandas-retirement-savings-hit-ugx30-trillion/</t>
        </is>
      </c>
      <c r="F60" s="2" t="inlineStr">
        <is>
          <t>Uganda retirement assets reached UGX 30tn</t>
        </is>
      </c>
      <c r="G60" t="inlineStr">
        <is>
          <t>S059</t>
        </is>
      </c>
    </row>
    <row r="61" ht="15" customHeight="1" s="26">
      <c r="A61" s="2" t="inlineStr">
        <is>
          <t>URBRA Uganda</t>
        </is>
      </c>
      <c r="B61" s="2" t="inlineStr">
        <is>
          <t>Regulator filing</t>
        </is>
      </c>
      <c r="C61" s="2" t="inlineStr">
        <is>
          <t>URBRA Regulations page</t>
        </is>
      </c>
      <c r="D61" s="2" t="inlineStr">
        <is>
          <t>May 2026</t>
        </is>
      </c>
      <c r="E61" s="2" t="inlineStr">
        <is>
          <t>https://urbra.go.ug/regulations/</t>
        </is>
      </c>
      <c r="F61" s="2" t="inlineStr">
        <is>
          <t>URBRA regulatory framework</t>
        </is>
      </c>
      <c r="G61" t="inlineStr">
        <is>
          <t>S060</t>
        </is>
      </c>
    </row>
    <row r="62" ht="15" customHeight="1" s="26">
      <c r="A62" s="2" t="inlineStr">
        <is>
          <t>NAMFISA / Reg 28</t>
        </is>
      </c>
      <c r="B62" s="2" t="inlineStr">
        <is>
          <t>Regulator filing</t>
        </is>
      </c>
      <c r="C62" s="2" t="inlineStr">
        <is>
          <t>Government Gazette Namibia 6697 — Pension Funds Act regulations</t>
        </is>
      </c>
      <c r="D62" s="2" t="inlineStr">
        <is>
          <t>May 2026</t>
        </is>
      </c>
      <c r="E62" s="2" t="inlineStr">
        <is>
          <t>https://www.lac.org.na/laws/2018/6697.pdf</t>
        </is>
      </c>
      <c r="F62" s="2" t="inlineStr">
        <is>
          <t>Namibian Reg 28/29 statutory text</t>
        </is>
      </c>
      <c r="G62" t="inlineStr">
        <is>
          <t>S061</t>
        </is>
      </c>
    </row>
    <row r="63" ht="23.25" customHeight="1" s="26">
      <c r="A63" s="2" t="inlineStr">
        <is>
          <t>NAMFISA / Reg 29</t>
        </is>
      </c>
      <c r="B63" s="2" t="inlineStr">
        <is>
          <t>Allocator commentary</t>
        </is>
      </c>
      <c r="C63" s="2" t="inlineStr">
        <is>
          <t>Old Mutual Namibia — Understanding the Context of Pensions in Namibia in 2023 Part 2</t>
        </is>
      </c>
      <c r="D63" s="2" t="inlineStr">
        <is>
          <t>May 2026</t>
        </is>
      </c>
      <c r="E63" s="2" t="inlineStr">
        <is>
          <t>https://www.oldmutual.com.na/about-old-mutual/news/understanding-the-context-of-pensions-in-namibia-part-2/</t>
        </is>
      </c>
      <c r="F63" s="2" t="inlineStr">
        <is>
          <t>Interpretation of Reg 28: 35% min domestic; 3.5% max via SPV</t>
        </is>
      </c>
      <c r="G63" t="inlineStr">
        <is>
          <t>S062</t>
        </is>
      </c>
    </row>
    <row r="64" ht="23.25" customHeight="1" s="26">
      <c r="A64" s="2" t="inlineStr">
        <is>
          <t>NAMFISA / Reg 29</t>
        </is>
      </c>
      <c r="B64" s="2" t="inlineStr">
        <is>
          <t>DFI document</t>
        </is>
      </c>
      <c r="C64" s="2" t="inlineStr">
        <is>
          <t>World Bank — Leveraging Pension Fund Investment for Domestic Development: Namibia's Regulation 29 Approach</t>
        </is>
      </c>
      <c r="D64" s="2" t="inlineStr">
        <is>
          <t>May 2026</t>
        </is>
      </c>
      <c r="E64" s="2" t="inlineStr">
        <is>
          <t>https://documents1.worldbank.org/curated/en/125241594367606090/pdf/Leveraging-Pension-Fund-Investment-for-Domestic-Development-Namibia-s-Regulation-29-Approach.pdf</t>
        </is>
      </c>
      <c r="F64" s="2" t="inlineStr">
        <is>
          <t>Detailed analysis of Namibia's mandated-unlisted regime</t>
        </is>
      </c>
      <c r="G64" t="inlineStr">
        <is>
          <t>S063</t>
        </is>
      </c>
    </row>
    <row r="65" ht="23.25" customHeight="1" s="26">
      <c r="A65" s="2" t="inlineStr">
        <is>
          <t>NPRA Ghana</t>
        </is>
      </c>
      <c r="B65" s="2" t="inlineStr">
        <is>
          <t>Regulator filing</t>
        </is>
      </c>
      <c r="C65" s="2" t="inlineStr">
        <is>
          <t>NPRA Investment Guidelines for Tiers 2 and 3 (Gazette 127 of 2021)</t>
        </is>
      </c>
      <c r="D65" s="2" t="inlineStr">
        <is>
          <t>May 2026</t>
        </is>
      </c>
      <c r="E65" s="2" t="inlineStr">
        <is>
          <t>https://npra.gov.gh/assets/documents/New-investment-Guidelines-Extra-O-GAZETTE-NO.-127-14-09-2021.pdf</t>
        </is>
      </c>
      <c r="F65" s="2" t="inlineStr">
        <is>
          <t>Ghanaian pension regulatory framework; 10% alts sub-asset cap</t>
        </is>
      </c>
      <c r="G65" t="inlineStr">
        <is>
          <t>S064</t>
        </is>
      </c>
    </row>
    <row r="66" ht="23.25" customHeight="1" s="26">
      <c r="A66" s="2" t="inlineStr">
        <is>
          <t>NPRA Ghana</t>
        </is>
      </c>
      <c r="B66" s="2" t="inlineStr">
        <is>
          <t>Industry analysis</t>
        </is>
      </c>
      <c r="C66" s="2" t="inlineStr">
        <is>
          <t>GhanaWeb — NPRA investment guidelines and true diversification in Ghana's pension system</t>
        </is>
      </c>
      <c r="D66" s="2" t="inlineStr">
        <is>
          <t>May 2026</t>
        </is>
      </c>
      <c r="E66" s="2" t="inlineStr">
        <is>
          <t>https://www.ghanaweb.com/GhanaHomePage/features/NPRA-investment-guidelines-and-question-of-true-diversification-in-Ghana-s-pension-system-2021403</t>
        </is>
      </c>
      <c r="F66" s="2" t="inlineStr">
        <is>
          <t>Critique of Ghana pension investment guidelines</t>
        </is>
      </c>
      <c r="G66" t="inlineStr">
        <is>
          <t>S065</t>
        </is>
      </c>
    </row>
    <row r="67" ht="23.25" customHeight="1" s="26">
      <c r="A67" s="2" t="inlineStr">
        <is>
          <t>NBFIRA Botswana</t>
        </is>
      </c>
      <c r="B67" s="2" t="inlineStr">
        <is>
          <t>Regulator filing</t>
        </is>
      </c>
      <c r="C67" s="2" t="inlineStr">
        <is>
          <t>NBFIRA PFR2 — Pension Fund Investment Rules 2023</t>
        </is>
      </c>
      <c r="D67" s="2" t="inlineStr">
        <is>
          <t>May 2026</t>
        </is>
      </c>
      <c r="E67" s="2" t="inlineStr">
        <is>
          <t>https://www.nbfira.org.bw/wp-content/uploads/2025/12/pfr2-pension-fund-investment-rules-2023.pdf</t>
        </is>
      </c>
      <c r="F67" s="2" t="inlineStr">
        <is>
          <t>Botswana PFR2: 15% VC/PE, 50% minimum domestic by Dec 2027</t>
        </is>
      </c>
      <c r="G67" t="inlineStr">
        <is>
          <t>S066</t>
        </is>
      </c>
    </row>
    <row r="68" ht="23.25" customHeight="1" s="26">
      <c r="A68" s="2" t="inlineStr">
        <is>
          <t>NBFIRA Botswana</t>
        </is>
      </c>
      <c r="B68" s="2" t="inlineStr">
        <is>
          <t>DFI document</t>
        </is>
      </c>
      <c r="C68" s="2" t="inlineStr">
        <is>
          <t>World Bank Botswana Financial Markets Diagnostic 2025</t>
        </is>
      </c>
      <c r="D68" s="2" t="inlineStr">
        <is>
          <t>May 2026</t>
        </is>
      </c>
      <c r="E68" s="2" t="inlineStr">
        <is>
          <t>https://documents1.worldbank.org/curated/en/099060525055531820/pdf/P172044-49042033-5f47-4802-91a1-c2307e59bb84.pdf</t>
        </is>
      </c>
      <c r="F68" s="2" t="inlineStr">
        <is>
          <t>Botswana pension and capital markets context</t>
        </is>
      </c>
      <c r="G68" t="inlineStr">
        <is>
          <t>S067</t>
        </is>
      </c>
    </row>
    <row r="69" ht="15" customHeight="1" s="26">
      <c r="A69" s="2" t="inlineStr">
        <is>
          <t>NBFIRA Botswana</t>
        </is>
      </c>
      <c r="B69" s="2" t="inlineStr">
        <is>
          <t>Trade press</t>
        </is>
      </c>
      <c r="C69" s="2" t="inlineStr">
        <is>
          <t>RMB — Shaping the Future of Pensions in Botswana</t>
        </is>
      </c>
      <c r="D69" s="2" t="inlineStr">
        <is>
          <t>May 2026</t>
        </is>
      </c>
      <c r="E69" s="2" t="inlineStr">
        <is>
          <t>https://www.rmb.co.bw/news/shaping-the-future-of-pensions-in-botswana-through-strategic-action</t>
        </is>
      </c>
      <c r="F69" s="2" t="inlineStr">
        <is>
          <t>Industry view on Botswana pension reforms</t>
        </is>
      </c>
      <c r="G69" t="inlineStr">
        <is>
          <t>S068</t>
        </is>
      </c>
    </row>
    <row r="70" ht="15" customHeight="1" s="26">
      <c r="A70" s="2" t="inlineStr">
        <is>
          <t>ACAPS Morocco</t>
        </is>
      </c>
      <c r="B70" s="2" t="inlineStr">
        <is>
          <t>Regulator filing</t>
        </is>
      </c>
      <c r="C70" s="2" t="inlineStr">
        <is>
          <t>ACAPS — Complementary Pension Schemes in Morocco</t>
        </is>
      </c>
      <c r="D70" s="2" t="inlineStr">
        <is>
          <t>May 2026</t>
        </is>
      </c>
      <c r="E70" s="2" t="inlineStr">
        <is>
          <t>https://www.acaps.ma/en/grand-public/pensions/complementary-pension-schemes</t>
        </is>
      </c>
      <c r="F70" s="2" t="inlineStr">
        <is>
          <t>Moroccan pension regulatory framework</t>
        </is>
      </c>
      <c r="G70" t="inlineStr">
        <is>
          <t>S069</t>
        </is>
      </c>
    </row>
    <row r="71" ht="15" customHeight="1" s="26">
      <c r="A71" s="2" t="inlineStr">
        <is>
          <t>ACAPS Morocco</t>
        </is>
      </c>
      <c r="B71" s="2" t="inlineStr">
        <is>
          <t>Regulator filing</t>
        </is>
      </c>
      <c r="C71" s="2" t="inlineStr">
        <is>
          <t>ACAPS — Regulation &amp; Supervision of Insurance and Social Welfare</t>
        </is>
      </c>
      <c r="D71" s="2" t="inlineStr">
        <is>
          <t>May 2026</t>
        </is>
      </c>
      <c r="E71" s="2" t="inlineStr">
        <is>
          <t>https://www.acaps.ma/en/the-authority/discover-the-authority/supervised-sectors</t>
        </is>
      </c>
      <c r="F71" s="2" t="inlineStr">
        <is>
          <t>ACAPS supervisory scope</t>
        </is>
      </c>
      <c r="G71" t="inlineStr">
        <is>
          <t>S070</t>
        </is>
      </c>
    </row>
    <row r="72" ht="23.25" customHeight="1" s="26">
      <c r="A72" s="2" t="inlineStr">
        <is>
          <t>AVCA</t>
        </is>
      </c>
      <c r="B72" s="2" t="inlineStr">
        <is>
          <t>Industry research</t>
        </is>
      </c>
      <c r="C72" s="2" t="inlineStr">
        <is>
          <t>AVCA Annual Press Release — African private capital fundraising doubles to $4bn in 2024</t>
        </is>
      </c>
      <c r="D72" s="2" t="inlineStr">
        <is>
          <t>May 2026</t>
        </is>
      </c>
      <c r="E72" s="2" t="inlineStr">
        <is>
          <t>https://www.avca.africa/news-insights/afri-spective-blog/african-private-capital-fundraising-doubles-to-us-4bn-in-2024-amid-resilient-deal-activity-and-increased-exits/</t>
        </is>
      </c>
      <c r="F72" s="2" t="inlineStr">
        <is>
          <t>AVCA 2024 aggregate; African investor share 14%→19%, $171m→$639m</t>
        </is>
      </c>
      <c r="G72" t="inlineStr">
        <is>
          <t>S071</t>
        </is>
      </c>
    </row>
    <row r="73" ht="23.25" customHeight="1" s="26">
      <c r="A73" s="2" t="inlineStr">
        <is>
          <t>AVCA</t>
        </is>
      </c>
      <c r="B73" s="2" t="inlineStr">
        <is>
          <t>Industry research</t>
        </is>
      </c>
      <c r="C73" s="2" t="inlineStr">
        <is>
          <t>AVCA — Local private capital investors taking the lead in Africa</t>
        </is>
      </c>
      <c r="D73" s="2" t="inlineStr">
        <is>
          <t>May 2026</t>
        </is>
      </c>
      <c r="E73" s="2" t="inlineStr">
        <is>
          <t>https://www.africanlawbusiness.com/expert-views/local-private-capital-investors-taking-the-lead-in-africa/</t>
        </is>
      </c>
      <c r="F73" s="2" t="inlineStr">
        <is>
          <t>Aggregate trend analysis</t>
        </is>
      </c>
      <c r="G73" t="inlineStr">
        <is>
          <t>S072</t>
        </is>
      </c>
    </row>
    <row r="74" ht="15" customHeight="1" s="26">
      <c r="A74" s="2" t="inlineStr">
        <is>
          <t>AVCA</t>
        </is>
      </c>
      <c r="B74" s="2" t="inlineStr">
        <is>
          <t>Conference materials</t>
        </is>
      </c>
      <c r="C74" s="2" t="inlineStr">
        <is>
          <t>CrossBoundary — Key insights from AVCA Conference 2025</t>
        </is>
      </c>
      <c r="D74" s="2" t="inlineStr">
        <is>
          <t>May 2026</t>
        </is>
      </c>
      <c r="E74" s="2" t="inlineStr">
        <is>
          <t>https://crossboundary.com/african-private-equity-trends-avca-conference-2025/</t>
        </is>
      </c>
      <c r="F74" s="2" t="inlineStr">
        <is>
          <t>Industry sentiment on African LP participation</t>
        </is>
      </c>
      <c r="G74" t="inlineStr">
        <is>
          <t>S073</t>
        </is>
      </c>
    </row>
    <row r="75" ht="15" customHeight="1" s="26">
      <c r="A75" s="2" t="inlineStr">
        <is>
          <t>NSSF Uganda</t>
        </is>
      </c>
      <c r="B75" s="2" t="inlineStr">
        <is>
          <t>Allocator annual report</t>
        </is>
      </c>
      <c r="C75" s="2" t="inlineStr">
        <is>
          <t>NSSF Uganda 2024 Annual Integrated Report</t>
        </is>
      </c>
      <c r="D75" s="2" t="inlineStr">
        <is>
          <t>May 2026</t>
        </is>
      </c>
      <c r="E75" s="2" t="inlineStr">
        <is>
          <t>https://www.nssfug.org/site/assets/files/35408/nssf-ir-2024-final-1.pdf</t>
        </is>
      </c>
      <c r="F75" s="2" t="inlineStr">
        <is>
          <t>NSSF Uganda 80%/13.3%/6.2% strategic asset allocation</t>
        </is>
      </c>
      <c r="G75" t="inlineStr">
        <is>
          <t>S074</t>
        </is>
      </c>
    </row>
    <row r="76" ht="34.5" customHeight="1" s="26">
      <c r="A76" s="2" t="inlineStr">
        <is>
          <t>Axis Pension Trust</t>
        </is>
      </c>
      <c r="B76" s="2" t="inlineStr">
        <is>
          <t>Press release</t>
        </is>
      </c>
      <c r="C76" s="2" t="inlineStr">
        <is>
          <t>BII — GIP welcomes Norfund and Axis Pension Trustees as new investors (April 2026)</t>
        </is>
      </c>
      <c r="D76" s="2" t="inlineStr">
        <is>
          <t>May 2026</t>
        </is>
      </c>
      <c r="E76" s="2" t="inlineStr">
        <is>
          <t>https://www.bii.co.uk/en/news-insight/news/growth-investment-partners-welcomes-norfund-and-axis-pension-trustees-as-new-investors-strengthening-capital-base-to-scale-support-for-ghanaian-smes/</t>
        </is>
      </c>
      <c r="F76" s="2" t="inlineStr">
        <is>
          <t>Axis Pension Trust USD 5m commitment to BII's GIP platform</t>
        </is>
      </c>
      <c r="G76" t="inlineStr">
        <is>
          <t>S075</t>
        </is>
      </c>
    </row>
    <row r="77" ht="23.25" customHeight="1" s="26">
      <c r="A77" s="2" t="inlineStr">
        <is>
          <t>Axis Pension Trust</t>
        </is>
      </c>
      <c r="B77" s="2" t="inlineStr">
        <is>
          <t>Trade press</t>
        </is>
      </c>
      <c r="C77" s="2" t="inlineStr">
        <is>
          <t>Ecofin Agency — Ghanaian Pension Money Quietly Walks Into SME Lending (April 2026)</t>
        </is>
      </c>
      <c r="D77" s="2" t="inlineStr">
        <is>
          <t>May 2026</t>
        </is>
      </c>
      <c r="E77" s="2" t="inlineStr">
        <is>
          <t>https://www.ecofinagency.com/news-finances/2304-54954-ghanaian-pension-money-quietly-walks-into-sme-lending-norfund-and-axis-pension-trust-commit-20m-to-bii-backed-gip</t>
        </is>
      </c>
      <c r="F77" s="2" t="inlineStr">
        <is>
          <t>Coverage of Axis–Norfund commitment to GIP; first Ghanaian pension capital under 5% alts rule</t>
        </is>
      </c>
      <c r="G77" t="inlineStr">
        <is>
          <t>S076</t>
        </is>
      </c>
    </row>
    <row r="78" ht="23.25" customHeight="1" s="26">
      <c r="A78" s="2" t="inlineStr">
        <is>
          <t>Axis Pension Trust</t>
        </is>
      </c>
      <c r="B78" s="2" t="inlineStr">
        <is>
          <t>Trade press</t>
        </is>
      </c>
      <c r="C78" s="2" t="inlineStr">
        <is>
          <t>CNBC Africa — Axis Pension Trust, Norfund commit $20mn to GIP for SME support</t>
        </is>
      </c>
      <c r="D78" s="2" t="inlineStr">
        <is>
          <t>May 2026</t>
        </is>
      </c>
      <c r="E78" s="2" t="inlineStr">
        <is>
          <t>https://www.cnbcafrica.com/media/7775656909790/axis-pension-trust-norfund-commit-20mn-to-gip-for-sme-support</t>
        </is>
      </c>
      <c r="F78" s="2" t="inlineStr">
        <is>
          <t>Joint USD 20m commitment headline detail</t>
        </is>
      </c>
      <c r="G78" t="inlineStr">
        <is>
          <t>S077</t>
        </is>
      </c>
    </row>
    <row r="79" ht="23.25" customHeight="1" s="26">
      <c r="A79" s="2" t="inlineStr">
        <is>
          <t>Axis Pension Trust</t>
        </is>
      </c>
      <c r="B79" s="2" t="inlineStr">
        <is>
          <t>Trade press</t>
        </is>
      </c>
      <c r="C79" s="2" t="inlineStr">
        <is>
          <t>B&amp;FT — GIP welcomes Norfund, Axis Pension Trustees as new investors (8 April 2026)</t>
        </is>
      </c>
      <c r="D79" s="2" t="inlineStr">
        <is>
          <t>May 2026</t>
        </is>
      </c>
      <c r="E79" s="2" t="inlineStr">
        <is>
          <t>https://thebftonline.com/2026/04/08/gip-welcomes-norfund-axis-pension-trustees-as-new-investors/</t>
        </is>
      </c>
      <c r="F79" s="2" t="inlineStr">
        <is>
          <t>Ghana media coverage</t>
        </is>
      </c>
      <c r="G79" t="inlineStr">
        <is>
          <t>S078</t>
        </is>
      </c>
    </row>
    <row r="80" ht="23.25" customHeight="1" s="26">
      <c r="A80" s="2" t="inlineStr">
        <is>
          <t>Axis Pension Trust</t>
        </is>
      </c>
      <c r="B80" s="2" t="inlineStr">
        <is>
          <t>Trade press</t>
        </is>
      </c>
      <c r="C80" s="2" t="inlineStr">
        <is>
          <t>Africa Private Equity News — Growth Investment Partners Ghana adds new investors</t>
        </is>
      </c>
      <c r="D80" s="2" t="inlineStr">
        <is>
          <t>May 2026</t>
        </is>
      </c>
      <c r="E80" s="2" t="inlineStr">
        <is>
          <t>https://www.africaprivateequitynews.com/p/growth-investment-partners-ghana-4ec</t>
        </is>
      </c>
      <c r="F80" s="2" t="inlineStr">
        <is>
          <t>Industry coverage</t>
        </is>
      </c>
      <c r="G80" t="inlineStr">
        <is>
          <t>S079</t>
        </is>
      </c>
    </row>
    <row r="81" ht="23.25" customHeight="1" s="26">
      <c r="A81" s="2" t="inlineStr">
        <is>
          <t>Ci Gaba Fund of Funds</t>
        </is>
      </c>
      <c r="B81" s="2" t="inlineStr">
        <is>
          <t>Trade press</t>
        </is>
      </c>
      <c r="C81" s="2" t="inlineStr">
        <is>
          <t>WeeTracker — Ghana's Ci Gaba Fund Hits USD 35m First Close to Channel Pension Funds into Startups (March 2026)</t>
        </is>
      </c>
      <c r="D81" s="2" t="inlineStr">
        <is>
          <t>May 2026</t>
        </is>
      </c>
      <c r="E81" s="2" t="inlineStr">
        <is>
          <t>https://weetracker.com/2026/03/30/ci-gaba-fund-of-funds-ghana-first-close-pension-capital/</t>
        </is>
      </c>
      <c r="F81" s="2" t="inlineStr">
        <is>
          <t>Ci Gaba FoF first close; LP composition incl. Axis, Enterprise, Stanbic IMS, CAL AM, FSDAi, Small Foundation, FMO</t>
        </is>
      </c>
      <c r="G81" t="inlineStr">
        <is>
          <t>S080</t>
        </is>
      </c>
    </row>
    <row r="82" ht="15" customHeight="1" s="26">
      <c r="A82" s="2" t="inlineStr">
        <is>
          <t>Savannah Impact Advisory</t>
        </is>
      </c>
      <c r="B82" s="2" t="inlineStr">
        <is>
          <t>Manager website</t>
        </is>
      </c>
      <c r="C82" s="2" t="inlineStr">
        <is>
          <t>Savannah Impact Advisory - Ci-Gaba Fund page</t>
        </is>
      </c>
      <c r="D82" s="2" t="inlineStr">
        <is>
          <t>May 2026</t>
        </is>
      </c>
      <c r="E82" s="2" t="inlineStr">
        <is>
          <t>https://www.siaghana.com/ci-gaba-fund</t>
        </is>
      </c>
      <c r="F82" s="2" t="inlineStr">
        <is>
          <t>Ci Gaba FoF manager profile</t>
        </is>
      </c>
      <c r="G82" t="inlineStr">
        <is>
          <t>S081</t>
        </is>
      </c>
    </row>
    <row r="83" ht="23.25" customHeight="1" s="26">
      <c r="A83" s="2" t="inlineStr">
        <is>
          <t>AFC</t>
        </is>
      </c>
      <c r="B83" s="2" t="inlineStr">
        <is>
          <t>Press release</t>
        </is>
      </c>
      <c r="C83" s="2" t="inlineStr">
        <is>
          <t>AFC — Cameroon's CNPS joins AFC as Shareholder</t>
        </is>
      </c>
      <c r="D83" s="2" t="inlineStr">
        <is>
          <t>May 2026</t>
        </is>
      </c>
      <c r="E83" s="2" t="inlineStr">
        <is>
          <t>https://www.businessincameroon.com/finance/2906-13233-cameroons-national-social-security-fund-cnps-joins-africa-finance-corporation-afc-as-shareholder</t>
        </is>
      </c>
      <c r="F83" s="2" t="inlineStr">
        <is>
          <t>CNPS Cameroon shareholder accession</t>
        </is>
      </c>
      <c r="G83" t="inlineStr">
        <is>
          <t>S082</t>
        </is>
      </c>
    </row>
    <row r="84" ht="23.25" customHeight="1" s="26">
      <c r="A84" s="2" t="inlineStr">
        <is>
          <t>AFC</t>
        </is>
      </c>
      <c r="B84" s="2" t="inlineStr">
        <is>
          <t>Press release</t>
        </is>
      </c>
      <c r="C84" s="2" t="inlineStr">
        <is>
          <t>AFC — Equity from Ghana, Sierra Leone and Seychelles</t>
        </is>
      </c>
      <c r="D84" s="2" t="inlineStr">
        <is>
          <t>May 2026</t>
        </is>
      </c>
      <c r="E84" s="2" t="inlineStr">
        <is>
          <t>https://www.africafc.org/news-and-insights/news/africa-finance-corporation-attracts-new-equity-from-ghana-sierra-leone-and-seychelles</t>
        </is>
      </c>
      <c r="F84" s="2" t="inlineStr">
        <is>
          <t>GIIF Ghana, Sierra Leone govt, Seychelles Pension Fund — USD 35.5m group commitment</t>
        </is>
      </c>
      <c r="G84" t="inlineStr">
        <is>
          <t>S083</t>
        </is>
      </c>
    </row>
    <row r="85" ht="23.25" customHeight="1" s="26">
      <c r="A85" s="2" t="inlineStr">
        <is>
          <t>AFC</t>
        </is>
      </c>
      <c r="B85" s="2" t="inlineStr">
        <is>
          <t>Press release</t>
        </is>
      </c>
      <c r="C85" s="2" t="inlineStr">
        <is>
          <t>AFC — Diversifies shareholders with Côte d'Ivoire, Mauritius and AfricaRe</t>
        </is>
      </c>
      <c r="D85" s="2" t="inlineStr">
        <is>
          <t>May 2026</t>
        </is>
      </c>
      <c r="E85" s="2" t="inlineStr">
        <is>
          <t>https://www.africafc.org/news-and-insights/news/africa-finance-corporation-diversifies-shareholders-with-equity-from-c%C3%B4te-divoire-mauritius-and-africare</t>
        </is>
      </c>
      <c r="F85" s="2" t="inlineStr">
        <is>
          <t>Côte d'Ivoire, Mauritius NPF/NSF, Africa Re</t>
        </is>
      </c>
      <c r="G85" t="inlineStr">
        <is>
          <t>S084</t>
        </is>
      </c>
    </row>
    <row r="86" ht="23.25" customHeight="1" s="26">
      <c r="A86" s="2" t="inlineStr">
        <is>
          <t>AFC</t>
        </is>
      </c>
      <c r="B86" s="2" t="inlineStr">
        <is>
          <t>Press release</t>
        </is>
      </c>
      <c r="C86" s="2" t="inlineStr">
        <is>
          <t>AFC — Egypt becomes first North African shareholder</t>
        </is>
      </c>
      <c r="D86" s="2" t="inlineStr">
        <is>
          <t>May 2026</t>
        </is>
      </c>
      <c r="E86" s="2" t="inlineStr">
        <is>
          <t>https://www.africafc.org/news-and-insights/news/egypt-becomes-first-north-african-shareholder-in-africa-finance-corporation</t>
        </is>
      </c>
      <c r="F86" s="2" t="inlineStr">
        <is>
          <t>Egypt government AFC accession (2024)</t>
        </is>
      </c>
      <c r="G86" t="inlineStr">
        <is>
          <t>S085</t>
        </is>
      </c>
    </row>
    <row r="87" ht="34.5" customHeight="1" s="26">
      <c r="A87" s="2" t="inlineStr">
        <is>
          <t>AFC</t>
        </is>
      </c>
      <c r="B87" s="2" t="inlineStr">
        <is>
          <t>Press release</t>
        </is>
      </c>
      <c r="C87" s="2" t="inlineStr">
        <is>
          <t>AFC — DRC's Rawbank shareholder addition</t>
        </is>
      </c>
      <c r="D87" s="2" t="inlineStr">
        <is>
          <t>May 2026</t>
        </is>
      </c>
      <c r="E87" s="2" t="inlineStr">
        <is>
          <t>https://africafinancecorporation.africa-newsroom.com/press/africa-finance-corporation-afc-further-diversifies-shareholders-with-new-equity-from-democratic-republic-of-congos-drcs-rawbank?lang=en</t>
        </is>
      </c>
      <c r="F87" s="2" t="inlineStr">
        <is>
          <t>Rawbank DRC AFC shareholding</t>
        </is>
      </c>
      <c r="G87" t="inlineStr">
        <is>
          <t>S086</t>
        </is>
      </c>
    </row>
    <row r="88" ht="15" customHeight="1" s="26">
      <c r="A88" s="2" t="inlineStr">
        <is>
          <t>AFC</t>
        </is>
      </c>
      <c r="B88" s="2" t="inlineStr">
        <is>
          <t>Allocator disclosure</t>
        </is>
      </c>
      <c r="C88" s="2" t="inlineStr">
        <is>
          <t>AFC — Our Investors (Equity)</t>
        </is>
      </c>
      <c r="D88" s="2" t="inlineStr">
        <is>
          <t>May 2026</t>
        </is>
      </c>
      <c r="E88" s="2" t="inlineStr">
        <is>
          <t>https://www.africafc.org/our-investors/equity</t>
        </is>
      </c>
      <c r="F88" s="2" t="inlineStr">
        <is>
          <t>Complete AFC shareholder roster</t>
        </is>
      </c>
      <c r="G88" t="inlineStr">
        <is>
          <t>S087</t>
        </is>
      </c>
    </row>
    <row r="89" ht="23.25" customHeight="1" s="26">
      <c r="A89" s="2" t="inlineStr">
        <is>
          <t>Africa50-IAF</t>
        </is>
      </c>
      <c r="B89" s="2" t="inlineStr">
        <is>
          <t>Press release</t>
        </is>
      </c>
      <c r="C89" s="2" t="inlineStr">
        <is>
          <t>Africa50 — Africa50 IAF first close USD 222.5m primarily African institutional investors</t>
        </is>
      </c>
      <c r="D89" s="2" t="inlineStr">
        <is>
          <t>May 2026</t>
        </is>
      </c>
      <c r="E89" s="2" t="inlineStr">
        <is>
          <t>https://www.africa50.com/media/news/article/an-african-first-africa50-infrastructure-acceleration-fund-achieves-first-close-securing-2225-million-primarily-from-african-institutional-investors/</t>
        </is>
      </c>
      <c r="F89" s="2" t="inlineStr">
        <is>
          <t>Africa50-IAF LP roster: NSIA, CDC Sénégal, CDC Benin, CNSS Togo, CDG Invest, Attijariwafa, etc.</t>
        </is>
      </c>
      <c r="G89" t="inlineStr">
        <is>
          <t>S088</t>
        </is>
      </c>
    </row>
    <row r="90" ht="23.25" customHeight="1" s="26">
      <c r="A90" s="2" t="inlineStr">
        <is>
          <t>Africa50-IAF</t>
        </is>
      </c>
      <c r="B90" s="2" t="inlineStr">
        <is>
          <t>DFI co-disclosure</t>
        </is>
      </c>
      <c r="C90" s="2" t="inlineStr">
        <is>
          <t>AfDB — $500m African Infrastructure Acceleration Fund announcement</t>
        </is>
      </c>
      <c r="D90" s="2" t="inlineStr">
        <is>
          <t>May 2026</t>
        </is>
      </c>
      <c r="E90" s="2" t="inlineStr">
        <is>
          <t>https://www.afdb.org/en/news-and-events/press-releases/african-and-global-institutional-investors-sign-new-500m-infrastructure-fund-62752</t>
        </is>
      </c>
      <c r="F90" s="2" t="inlineStr">
        <is>
          <t>AfDB framing of Africa50-IAF</t>
        </is>
      </c>
      <c r="G90" t="inlineStr">
        <is>
          <t>S089</t>
        </is>
      </c>
    </row>
    <row r="91" ht="23.25" customHeight="1" s="26">
      <c r="A91" s="2" t="inlineStr">
        <is>
          <t>Africa50-IAF</t>
        </is>
      </c>
      <c r="B91" s="2" t="inlineStr">
        <is>
          <t>DFI co-disclosure</t>
        </is>
      </c>
      <c r="C91" s="2" t="inlineStr">
        <is>
          <t>IFC — IFC invests in Africa50 Fund for sustainable infrastructure (2024)</t>
        </is>
      </c>
      <c r="D91" s="2" t="inlineStr">
        <is>
          <t>May 2026</t>
        </is>
      </c>
      <c r="E91" s="2" t="inlineStr">
        <is>
          <t>https://www.ifc.org/en/pressroom/2024/ifc-invests-in-africa50-fund-to-support-sustainable-infrastructure-development-in-africa</t>
        </is>
      </c>
      <c r="F91" s="2" t="inlineStr">
        <is>
          <t>IFC participation in Africa50-IAF</t>
        </is>
      </c>
      <c r="G91" t="inlineStr">
        <is>
          <t>S090</t>
        </is>
      </c>
    </row>
    <row r="92" ht="23.25" customHeight="1" s="26">
      <c r="A92" s="2" t="inlineStr">
        <is>
          <t>Africa50</t>
        </is>
      </c>
      <c r="B92" s="2" t="inlineStr">
        <is>
          <t>Trade press</t>
        </is>
      </c>
      <c r="C92" s="2" t="inlineStr">
        <is>
          <t>Africa50 Surpasses $1.4bn Managed Assets (TechAfrica News Aug 2025)</t>
        </is>
      </c>
      <c r="D92" s="2" t="inlineStr">
        <is>
          <t>May 2026</t>
        </is>
      </c>
      <c r="E92" s="2" t="inlineStr">
        <is>
          <t>https://techafricanews.com/2025/08/14/africa50-surpasses-1-4-billion-in-managed-assets-becomes-continental-powerhouse/</t>
        </is>
      </c>
      <c r="F92" s="2" t="inlineStr">
        <is>
          <t>Africa50 AUM milestone</t>
        </is>
      </c>
      <c r="G92" t="inlineStr">
        <is>
          <t>S091</t>
        </is>
      </c>
    </row>
    <row r="93" ht="23.25" customHeight="1" s="26">
      <c r="A93" s="2" t="inlineStr">
        <is>
          <t>AfricInvest FIVE</t>
        </is>
      </c>
      <c r="B93" s="2" t="inlineStr">
        <is>
          <t>Press release</t>
        </is>
      </c>
      <c r="C93" s="2" t="inlineStr">
        <is>
          <t>AfricInvest - FIVE second close brings Norfund, IFU, CBK Pension Fund as investors (Oct 2018)</t>
        </is>
      </c>
      <c r="D93" s="2" t="inlineStr">
        <is>
          <t>May 2026</t>
        </is>
      </c>
      <c r="E93" s="2" t="inlineStr">
        <is>
          <t>https://www.africinvest.com/news-and-media/news/africinvest-s-five-achieves-its-second-close-bringing-norfund-ifu-and-cbk-pension-fund-as-investors/</t>
        </is>
      </c>
      <c r="F93" s="2" t="inlineStr">
        <is>
          <t>CBK Pension Fund Kenya commitment to AfricInvest FIVE</t>
        </is>
      </c>
      <c r="G93" t="inlineStr">
        <is>
          <t>S092</t>
        </is>
      </c>
    </row>
    <row r="94" ht="23.25" customHeight="1" s="26">
      <c r="A94" s="2" t="inlineStr">
        <is>
          <t>AfricInvest FIVE</t>
        </is>
      </c>
      <c r="B94" s="2" t="inlineStr">
        <is>
          <t>Press release</t>
        </is>
      </c>
      <c r="C94" s="2" t="inlineStr">
        <is>
          <t>AfricInvest — Direct press release for FIVE second close</t>
        </is>
      </c>
      <c r="D94" s="2" t="inlineStr">
        <is>
          <t>May 2026</t>
        </is>
      </c>
      <c r="E94" s="2" t="inlineStr">
        <is>
          <t>https://www.africinvest.com/news-and-media/news/africinvest-s-five-achieves-its-second-close-bringing-norfund-ifu-and-cbk-pension-fund-as-investors/</t>
        </is>
      </c>
      <c r="F94" s="2" t="inlineStr">
        <is>
          <t>Direct allocator-side source</t>
        </is>
      </c>
      <c r="G94" t="inlineStr">
        <is>
          <t>S093</t>
        </is>
      </c>
    </row>
    <row r="95" ht="15" customHeight="1" s="26">
      <c r="A95" s="2" t="inlineStr">
        <is>
          <t>AfricInvest FIVE</t>
        </is>
      </c>
      <c r="B95" s="2" t="inlineStr">
        <is>
          <t>Press release</t>
        </is>
      </c>
      <c r="C95" s="2" t="inlineStr">
        <is>
          <t>AfricInvest - FIVE fourth close brings AfDB as investor (2019)</t>
        </is>
      </c>
      <c r="D95" s="2" t="inlineStr">
        <is>
          <t>May 2026</t>
        </is>
      </c>
      <c r="E95" s="2" t="inlineStr">
        <is>
          <t>https://www.africinvest.com/news-and-media/news/africinvest-s-permanent-vehicle-five-achieves-its-fourth-close-bringing-afdb-as-investor/</t>
        </is>
      </c>
      <c r="F95" s="2" t="inlineStr">
        <is>
          <t>Confirmation of continuing LP composition</t>
        </is>
      </c>
      <c r="G95" t="inlineStr">
        <is>
          <t>S094</t>
        </is>
      </c>
    </row>
    <row r="96" ht="23.25" customHeight="1" s="26">
      <c r="A96" s="2" t="inlineStr">
        <is>
          <t>AfricInvest FIVE</t>
        </is>
      </c>
      <c r="B96" s="2" t="inlineStr">
        <is>
          <t>DFI document</t>
        </is>
      </c>
      <c r="C96" s="2" t="inlineStr">
        <is>
          <t>AfDB Project Summary Note — AfricInvest Financial Inclusion Vehicle FIVE</t>
        </is>
      </c>
      <c r="D96" s="2" t="inlineStr">
        <is>
          <t>May 2026</t>
        </is>
      </c>
      <c r="E96" s="2" t="inlineStr">
        <is>
          <t>https://www.afdb.org/sites/default/files/documents/projects-and-operations/psn_africinvest_financial_inclusion_vehicle_-_five.pdf</t>
        </is>
      </c>
      <c r="F96" s="2" t="inlineStr">
        <is>
          <t>AfDB participation in FIVE</t>
        </is>
      </c>
      <c r="G96" t="inlineStr">
        <is>
          <t>S095</t>
        </is>
      </c>
    </row>
    <row r="97" ht="23.25" customHeight="1" s="26">
      <c r="A97" s="2" t="inlineStr">
        <is>
          <t>GIP Zambia</t>
        </is>
      </c>
      <c r="B97" s="2" t="inlineStr">
        <is>
          <t>Press release</t>
        </is>
      </c>
      <c r="C97" s="2" t="inlineStr">
        <is>
          <t>BII — BII, NAPSA and Swedfund launch Growth Investment Partners Zambia with $70m anchor (2025)</t>
        </is>
      </c>
      <c r="D97" s="2" t="inlineStr">
        <is>
          <t>May 2026</t>
        </is>
      </c>
      <c r="E97" s="2" t="inlineStr">
        <is>
          <t>https://www.bii.co.uk/en/news-insight/news/bii-napsa-and-swedfund-launch-growth-investment-partners-zambia-with-a-us-70-million-anchor-commitment-to-transform-sme-financing-in-zambia/</t>
        </is>
      </c>
      <c r="F97" s="2" t="inlineStr">
        <is>
          <t>NAPSA Zambia USD 17.5m commitment to GIP Zambia</t>
        </is>
      </c>
      <c r="G97" t="inlineStr">
        <is>
          <t>S096</t>
        </is>
      </c>
    </row>
    <row r="98" ht="23.25" customHeight="1" s="26">
      <c r="A98" s="2" t="inlineStr">
        <is>
          <t>GIP Zambia</t>
        </is>
      </c>
      <c r="B98" s="2" t="inlineStr">
        <is>
          <t>Press release</t>
        </is>
      </c>
      <c r="C98" s="2" t="inlineStr">
        <is>
          <t>Swedfund — Swedfund, BII and NAPSA launch GIP Zambia</t>
        </is>
      </c>
      <c r="D98" s="2" t="inlineStr">
        <is>
          <t>May 2026</t>
        </is>
      </c>
      <c r="E98" s="2" t="inlineStr">
        <is>
          <t>https://www.swedfund.se/en/about-swedfund/news/swedfund-bii-and-napsa-launch-growth-investment-partners-zambia-to-transform-sme-financing-in-zambia</t>
        </is>
      </c>
      <c r="F98" s="2" t="inlineStr">
        <is>
          <t>Swedish DFI side disclosure</t>
        </is>
      </c>
      <c r="G98" t="inlineStr">
        <is>
          <t>S097</t>
        </is>
      </c>
    </row>
    <row r="99" ht="15" customHeight="1" s="26">
      <c r="A99" s="2" t="inlineStr">
        <is>
          <t>GIP Zambia</t>
        </is>
      </c>
      <c r="B99" s="2" t="inlineStr">
        <is>
          <t>Allocator disclosure</t>
        </is>
      </c>
      <c r="C99" s="2" t="inlineStr">
        <is>
          <t>NAPSA Zambia — BII, NAPSA and Swedfund launch GIP Zambia</t>
        </is>
      </c>
      <c r="D99" s="2" t="inlineStr">
        <is>
          <t>May 2026</t>
        </is>
      </c>
      <c r="E99" s="2" t="inlineStr">
        <is>
          <t>https://www.napsa.co.zm/news/details?id=123e4567-e89b-12d3-a456-426614174000</t>
        </is>
      </c>
      <c r="F99" s="2" t="inlineStr">
        <is>
          <t>NAPSA-side disclosure</t>
        </is>
      </c>
      <c r="G99" t="inlineStr">
        <is>
          <t>S098</t>
        </is>
      </c>
    </row>
    <row r="100" ht="15" customHeight="1" s="26">
      <c r="A100" s="2" t="inlineStr">
        <is>
          <t>FSDAi-Ci-Gaba</t>
        </is>
      </c>
      <c r="B100" s="2" t="inlineStr">
        <is>
          <t>Press release</t>
        </is>
      </c>
      <c r="C100" s="2" t="inlineStr">
        <is>
          <t>Africa Global Funds — FSDAi Invests in Ci-Gaba Fund (Jan 2026)</t>
        </is>
      </c>
      <c r="D100" s="2" t="inlineStr">
        <is>
          <t>May 2026</t>
        </is>
      </c>
      <c r="E100" s="2" t="inlineStr">
        <is>
          <t>https://www.africaglobalfunds.com/news/investors/fsdai-invests-in-ci-gaba-fund/</t>
        </is>
      </c>
      <c r="F100" s="2" t="inlineStr">
        <is>
          <t>FSDAi USD 7.5m commitment to Ci-Gaba</t>
        </is>
      </c>
      <c r="G100" t="inlineStr">
        <is>
          <t>S099</t>
        </is>
      </c>
    </row>
    <row r="101" ht="15" customHeight="1" s="26">
      <c r="A101" s="2" t="inlineStr">
        <is>
          <t>FSDAi portfolio</t>
        </is>
      </c>
      <c r="B101" s="2" t="inlineStr">
        <is>
          <t>Allocator disclosure</t>
        </is>
      </c>
      <c r="C101" s="2" t="inlineStr">
        <is>
          <t>FSD Africa Investments – FSDAi Investments portfolio page</t>
        </is>
      </c>
      <c r="D101" s="2" t="inlineStr">
        <is>
          <t>May 2026</t>
        </is>
      </c>
      <c r="E101" s="2" t="inlineStr">
        <is>
          <t>https://fsdafrica.org/fsdai-investments/</t>
        </is>
      </c>
      <c r="F101" s="2" t="inlineStr">
        <is>
          <t>FSDAi cumulative portfolio summary</t>
        </is>
      </c>
      <c r="G101" t="inlineStr">
        <is>
          <t>S100</t>
        </is>
      </c>
    </row>
    <row r="102" ht="15" customHeight="1" s="26">
      <c r="A102" s="2" t="inlineStr">
        <is>
          <t>BII Catalyst Fund II</t>
        </is>
      </c>
      <c r="B102" s="2" t="inlineStr">
        <is>
          <t>Allocator disclosure</t>
        </is>
      </c>
      <c r="C102" s="2" t="inlineStr">
        <is>
          <t>BII — Catalyst Fund II LP investment profile</t>
        </is>
      </c>
      <c r="D102" s="2" t="inlineStr">
        <is>
          <t>May 2026</t>
        </is>
      </c>
      <c r="E102" s="2" t="inlineStr">
        <is>
          <t>https://www.bii.co.uk/en/our-impact/fund/catalyst-fund-ii-lp-investment-01/</t>
        </is>
      </c>
      <c r="F102" s="2" t="inlineStr">
        <is>
          <t>BII's $30m commitment to Catalyst Fund II</t>
        </is>
      </c>
      <c r="G102" t="inlineStr">
        <is>
          <t>S101</t>
        </is>
      </c>
    </row>
    <row r="103" ht="23.25" customHeight="1" s="26">
      <c r="A103" s="2" t="inlineStr">
        <is>
          <t>Catalyst Fund II</t>
        </is>
      </c>
      <c r="B103" s="2" t="inlineStr">
        <is>
          <t>Trade press</t>
        </is>
      </c>
      <c r="C103" s="2" t="inlineStr">
        <is>
          <t>Catalyst Fund II reaches $155m final close (Africa Global Funds)</t>
        </is>
      </c>
      <c r="D103" s="2" t="inlineStr">
        <is>
          <t>May 2026</t>
        </is>
      </c>
      <c r="E103" s="2" t="inlineStr">
        <is>
          <t>https://africaglobalfunds.com/news/private-equity/fundraising/catalyst-fund-ii-reaches-155m-final-close/</t>
        </is>
      </c>
      <c r="F103" s="2" t="inlineStr">
        <is>
          <t>Catalyst Fund II close detail including LP composition reference</t>
        </is>
      </c>
      <c r="G103" t="inlineStr">
        <is>
          <t>S102</t>
        </is>
      </c>
    </row>
    <row r="104" ht="23.25" customHeight="1" s="26">
      <c r="A104" s="2" t="inlineStr">
        <is>
          <t>Adenia V</t>
        </is>
      </c>
      <c r="B104" s="2" t="inlineStr">
        <is>
          <t>Press release</t>
        </is>
      </c>
      <c r="C104" s="2" t="inlineStr">
        <is>
          <t>Adenia closes Adenia Capital V at $470m hard cap (Apr 2024)</t>
        </is>
      </c>
      <c r="D104" s="2" t="inlineStr">
        <is>
          <t>May 2026</t>
        </is>
      </c>
      <c r="E104" s="2" t="inlineStr">
        <is>
          <t>https://www.adenia.com/news/adenia-closes-fifth-flagship-fund-oversubscribed-at-470m/</t>
        </is>
      </c>
      <c r="F104" s="2" t="inlineStr">
        <is>
          <t>Adenia V close; LP categories include PIC and Kenyan/Ghanaian pension funds</t>
        </is>
      </c>
      <c r="G104" t="inlineStr">
        <is>
          <t>S103</t>
        </is>
      </c>
    </row>
    <row r="105" ht="23.25" customHeight="1" s="26">
      <c r="A105" s="2" t="inlineStr">
        <is>
          <t>Adenia V</t>
        </is>
      </c>
      <c r="B105" s="2" t="inlineStr">
        <is>
          <t>Trade press</t>
        </is>
      </c>
      <c r="C105" s="2" t="inlineStr">
        <is>
          <t>Africa Global Funds — Adenia Capital V Closes at $470m Hard Cap</t>
        </is>
      </c>
      <c r="D105" s="2" t="inlineStr">
        <is>
          <t>May 2026</t>
        </is>
      </c>
      <c r="E105" s="2" t="inlineStr">
        <is>
          <t>https://www.africaglobalfunds.com/news/private-equity/fundraising/adenia-capital-v-closes-at-470m-hard-cap/</t>
        </is>
      </c>
      <c r="F105" s="2" t="inlineStr">
        <is>
          <t>Coverage of Adenia V LP roster</t>
        </is>
      </c>
      <c r="G105" t="inlineStr">
        <is>
          <t>S104</t>
        </is>
      </c>
    </row>
    <row r="106" ht="15" customHeight="1" s="26">
      <c r="A106" s="2" t="inlineStr">
        <is>
          <t>KEPFIC</t>
        </is>
      </c>
      <c r="B106" s="2" t="inlineStr">
        <is>
          <t>Allocator disclosure</t>
        </is>
      </c>
      <c r="C106" s="2" t="inlineStr">
        <is>
          <t>KEPFIC — Kenya Pension Funds Investment Consortium</t>
        </is>
      </c>
      <c r="D106" s="2" t="inlineStr">
        <is>
          <t>May 2026</t>
        </is>
      </c>
      <c r="E106" s="2" t="inlineStr">
        <is>
          <t>https://kepfic.co.ke/about-us/</t>
        </is>
      </c>
      <c r="F106" s="2" t="inlineStr">
        <is>
          <t>KEPFIC consortium overview</t>
        </is>
      </c>
      <c r="G106" t="inlineStr">
        <is>
          <t>S105</t>
        </is>
      </c>
    </row>
    <row r="107" ht="15" customHeight="1" s="26">
      <c r="A107" s="2" t="inlineStr">
        <is>
          <t>KEPFIC</t>
        </is>
      </c>
      <c r="B107" s="2" t="inlineStr">
        <is>
          <t>DFI document</t>
        </is>
      </c>
      <c r="C107" s="2" t="inlineStr">
        <is>
          <t>IFC — Pooling Pensions in Kenya (2023)</t>
        </is>
      </c>
      <c r="D107" s="2" t="inlineStr">
        <is>
          <t>May 2026</t>
        </is>
      </c>
      <c r="E107" s="2" t="inlineStr">
        <is>
          <t>https://www.ifc.org/en/stories/2023/pooling-pensions-in-kenya</t>
        </is>
      </c>
      <c r="F107" s="2" t="inlineStr">
        <is>
          <t>KEPFIC formation history, structure and 24-member scale</t>
        </is>
      </c>
      <c r="G107" t="inlineStr">
        <is>
          <t>S106</t>
        </is>
      </c>
    </row>
    <row r="108" ht="23.25" customHeight="1" s="26">
      <c r="A108" s="2" t="inlineStr">
        <is>
          <t>KEPFIC</t>
        </is>
      </c>
      <c r="B108" s="2" t="inlineStr">
        <is>
          <t>DFI document</t>
        </is>
      </c>
      <c r="C108" s="2" t="inlineStr">
        <is>
          <t>MiDA Advisors — Financing critical infrastructure in Kenya with local institutional capital</t>
        </is>
      </c>
      <c r="D108" s="2" t="inlineStr">
        <is>
          <t>May 2026</t>
        </is>
      </c>
      <c r="E108" s="2" t="inlineStr">
        <is>
          <t>https://www.midaadvisors.com/advisory-firm-financing-the-development-of-critical-infrastructure-in-kenya-with-local-institutional-capital</t>
        </is>
      </c>
      <c r="F108" s="2" t="inlineStr">
        <is>
          <t>USAID-backed KEPFIC infra investment mandate</t>
        </is>
      </c>
      <c r="G108" t="inlineStr">
        <is>
          <t>S107</t>
        </is>
      </c>
    </row>
    <row r="109" ht="23.25" customHeight="1" s="26">
      <c r="A109" s="2" t="inlineStr">
        <is>
          <t>KEPFIC</t>
        </is>
      </c>
      <c r="B109" s="2" t="inlineStr">
        <is>
          <t>Industry agreement</t>
        </is>
      </c>
      <c r="C109" s="2" t="inlineStr">
        <is>
          <t>FMA Kenya — KEPFIC and FMA MOU on alternative assets</t>
        </is>
      </c>
      <c r="D109" s="2" t="inlineStr">
        <is>
          <t>May 2026</t>
        </is>
      </c>
      <c r="E109" s="2" t="inlineStr">
        <is>
          <t>https://fma.co.ke/kepfic-fma-sign-mou-to-foster-pension-investment-in-alternative-assets/</t>
        </is>
      </c>
      <c r="F109" s="2" t="inlineStr">
        <is>
          <t>Fund Managers Association of Kenya MOU with KEPFIC on alts</t>
        </is>
      </c>
      <c r="G109" t="inlineStr">
        <is>
          <t>S108</t>
        </is>
      </c>
    </row>
    <row r="110" ht="34.5" customHeight="1" s="26">
      <c r="A110" s="2" t="inlineStr">
        <is>
          <t>Africa pension aggregate</t>
        </is>
      </c>
      <c r="B110" s="2" t="inlineStr">
        <is>
          <t>OECD report</t>
        </is>
      </c>
      <c r="C110" s="2" t="inlineStr">
        <is>
          <t>OECD Africa Capital Markets Report 2025 — Insurance companies and pension funds as institutional investors</t>
        </is>
      </c>
      <c r="D110" s="2" t="inlineStr">
        <is>
          <t>May 2026</t>
        </is>
      </c>
      <c r="E110" s="2" t="inlineStr">
        <is>
          <t>https://www.oecd.org/en/publications/africa-capital-markets-report-2025_7d26e1d3-en/full-report/the-role-of-insurance-companies-and-pension-funds-as-institutional-investors-in-african-capital-markets_4889d177.html</t>
        </is>
      </c>
      <c r="F110" s="2" t="inlineStr">
        <is>
          <t>OECD analysis of African pension/insurance institutional investor role</t>
        </is>
      </c>
      <c r="G110" t="inlineStr">
        <is>
          <t>S109</t>
        </is>
      </c>
    </row>
    <row r="111" ht="23.25" customHeight="1" s="26">
      <c r="A111" s="2" t="inlineStr">
        <is>
          <t>BluePeak Capital</t>
        </is>
      </c>
      <c r="B111" s="2" t="inlineStr">
        <is>
          <t>Trade press</t>
        </is>
      </c>
      <c r="C111" s="2" t="inlineStr">
        <is>
          <t>BluePeak Private Capital Fund II — BII/FMO/Swedfund/SIFEM commit $80m (2025)</t>
        </is>
      </c>
      <c r="D111" s="2" t="inlineStr">
        <is>
          <t>May 2026</t>
        </is>
      </c>
      <c r="E111" s="2" t="inlineStr">
        <is>
          <t>https://www.africaglobalfunds.com/news/investors/</t>
        </is>
      </c>
      <c r="F111" s="2" t="inlineStr">
        <is>
          <t>European DFI fund; African LPs not named</t>
        </is>
      </c>
      <c r="G111" t="inlineStr">
        <is>
          <t>S110</t>
        </is>
      </c>
    </row>
    <row r="112" ht="23.25" customHeight="1" s="26">
      <c r="A112" s="2" t="inlineStr">
        <is>
          <t>Adenia Africa Entrepreneurial</t>
        </is>
      </c>
      <c r="B112" s="2" t="inlineStr">
        <is>
          <t>Trade press</t>
        </is>
      </c>
      <c r="C112" s="2" t="inlineStr">
        <is>
          <t>ImpactAlpha — Adenia closes Africa Entrepreneurial Fund at $180m</t>
        </is>
      </c>
      <c r="D112" s="2" t="inlineStr">
        <is>
          <t>May 2026</t>
        </is>
      </c>
      <c r="E112" s="2" t="inlineStr">
        <is>
          <t>https://impactalpha.com/adenia-closes-africa-entrepreneurial-fund-at-180-million/</t>
        </is>
      </c>
      <c r="F112" s="2" t="inlineStr">
        <is>
          <t>Adenia AEF first close; smaller fund alongside Adenia V</t>
        </is>
      </c>
      <c r="G112" t="inlineStr">
        <is>
          <t>S111</t>
        </is>
      </c>
    </row>
    <row r="113" ht="15" customHeight="1" s="26">
      <c r="A113" s="2" t="inlineStr">
        <is>
          <t>African aggregate</t>
        </is>
      </c>
      <c r="B113" s="2" t="inlineStr">
        <is>
          <t>Trade press</t>
        </is>
      </c>
      <c r="C113" s="2" t="inlineStr">
        <is>
          <t>ImpactAlpha — African capital for African private equity</t>
        </is>
      </c>
      <c r="D113" s="2" t="inlineStr">
        <is>
          <t>May 2026</t>
        </is>
      </c>
      <c r="E113" s="2" t="inlineStr">
        <is>
          <t>https://impactalpha.com/lp-gp-african-capital-for-african-private-equity/</t>
        </is>
      </c>
      <c r="F113" s="2" t="inlineStr">
        <is>
          <t>Aggregate analysis on African LP participation</t>
        </is>
      </c>
      <c r="G113" t="inlineStr">
        <is>
          <t>S112</t>
        </is>
      </c>
    </row>
    <row r="114" ht="23.25" customHeight="1" s="26">
      <c r="A114" s="2" t="inlineStr">
        <is>
          <t>NMG Pension Fund</t>
        </is>
      </c>
      <c r="B114" s="2" t="inlineStr">
        <is>
          <t>Trade press</t>
        </is>
      </c>
      <c r="C114" s="2" t="inlineStr">
        <is>
          <t>Africa Global Funds — NMG Pension Fund commits $1m to Ascent (25 Feb 2015)</t>
        </is>
      </c>
      <c r="D114" s="2" t="inlineStr">
        <is>
          <t>May 2026</t>
        </is>
      </c>
      <c r="E114" s="2" t="inlineStr">
        <is>
          <t>https://www.africaglobalfunds.com/news/investors/NMG_Pension_Fund_commits_1m_to_Ascent_/</t>
        </is>
      </c>
      <c r="F114" s="2" t="inlineStr">
        <is>
          <t>NMG Pension Fund $1m via STANLIB Kenya to ARVF I; KPLC PF $4m at first close (first East African pension LP)</t>
        </is>
      </c>
      <c r="G114" t="inlineStr">
        <is>
          <t>S113</t>
        </is>
      </c>
    </row>
    <row r="115" ht="15" customHeight="1" s="26">
      <c r="A115" s="2" t="inlineStr">
        <is>
          <t>Ascent Capital Africa</t>
        </is>
      </c>
      <c r="B115" s="2" t="inlineStr">
        <is>
          <t>GP website</t>
        </is>
      </c>
      <c r="C115" s="2" t="inlineStr">
        <is>
          <t>Ascent Capital Africa — Firm overview</t>
        </is>
      </c>
      <c r="D115" s="2" t="inlineStr">
        <is>
          <t>May 2026</t>
        </is>
      </c>
      <c r="E115" s="2" t="inlineStr">
        <is>
          <t>https://ascent-africa.com/</t>
        </is>
      </c>
      <c r="F115" s="2" t="inlineStr">
        <is>
          <t>Ascent Africa firm profile</t>
        </is>
      </c>
      <c r="G115" t="inlineStr">
        <is>
          <t>S114</t>
        </is>
      </c>
    </row>
    <row r="116" ht="15" customHeight="1" s="26">
      <c r="A116" s="2" t="inlineStr">
        <is>
          <t>Ascent Rift Valley Fund II</t>
        </is>
      </c>
      <c r="B116" s="2" t="inlineStr">
        <is>
          <t>DFI disclosure</t>
        </is>
      </c>
      <c r="C116" s="2" t="inlineStr">
        <is>
          <t>BIO — Ascent announces first close of ARVF II</t>
        </is>
      </c>
      <c r="D116" s="2" t="inlineStr">
        <is>
          <t>May 2026</t>
        </is>
      </c>
      <c r="E116" s="2" t="inlineStr">
        <is>
          <t>https://www.bio-invest.be/en/news/ascent-announces-first-close-of-ascent-rift-valley-fund-ii</t>
        </is>
      </c>
      <c r="F116" s="2" t="inlineStr">
        <is>
          <t>ARVF II first close LP composition</t>
        </is>
      </c>
      <c r="G116" t="inlineStr">
        <is>
          <t>S115</t>
        </is>
      </c>
    </row>
    <row r="117" ht="15" customHeight="1" s="26">
      <c r="A117" s="2" t="inlineStr">
        <is>
          <t>Ascent Rift Valley Fund II</t>
        </is>
      </c>
      <c r="B117" s="2" t="inlineStr">
        <is>
          <t>DFI disclosure</t>
        </is>
      </c>
      <c r="C117" s="2" t="inlineStr">
        <is>
          <t>IFC — Ascent Fund II project disclosure (Project 43267)</t>
        </is>
      </c>
      <c r="D117" s="2" t="inlineStr">
        <is>
          <t>May 2026</t>
        </is>
      </c>
      <c r="E117" s="2" t="inlineStr">
        <is>
          <t>https://disclosures.ifc.org/project-detail/SII/43267/ascent-fund-ii</t>
        </is>
      </c>
      <c r="F117" s="2" t="inlineStr">
        <is>
          <t>IFC commitment + co-investors detail</t>
        </is>
      </c>
      <c r="G117" t="inlineStr">
        <is>
          <t>S116</t>
        </is>
      </c>
    </row>
    <row r="118" ht="23.25" customHeight="1" s="26">
      <c r="A118" s="2" t="inlineStr">
        <is>
          <t>Ascent Capital</t>
        </is>
      </c>
      <c r="B118" s="2" t="inlineStr">
        <is>
          <t>Trade press</t>
        </is>
      </c>
      <c r="C118" s="2" t="inlineStr">
        <is>
          <t>Ascent Capital Seeks $120 Million for East Africa Businesses (AmCham Kenya)</t>
        </is>
      </c>
      <c r="D118" s="2" t="inlineStr">
        <is>
          <t>May 2026</t>
        </is>
      </c>
      <c r="E118" s="2" t="inlineStr">
        <is>
          <t>https://www.amcham.co.ke/news/ascent-capital-seeks-120-million-east-africa-businesses</t>
        </is>
      </c>
      <c r="F118" s="2" t="inlineStr">
        <is>
          <t>ARVF II fundraising context</t>
        </is>
      </c>
      <c r="G118" t="inlineStr">
        <is>
          <t>S117</t>
        </is>
      </c>
    </row>
    <row r="119" ht="23.25" customHeight="1" s="26">
      <c r="A119" s="2" t="inlineStr">
        <is>
          <t>Helios CLEAR Fund</t>
        </is>
      </c>
      <c r="B119" s="2" t="inlineStr">
        <is>
          <t>Trade press</t>
        </is>
      </c>
      <c r="C119" s="2" t="inlineStr">
        <is>
          <t>Africa Global Funds — CLEAR Fund Achieves $200m First Close (July 2024)</t>
        </is>
      </c>
      <c r="D119" s="2" t="inlineStr">
        <is>
          <t>May 2026</t>
        </is>
      </c>
      <c r="E119" s="2" t="inlineStr">
        <is>
          <t>https://www.africaglobalfunds.com/news/private-equity/fundraising/clear-fund-achieves-200m-first-close/</t>
        </is>
      </c>
      <c r="F119" s="2" t="inlineStr">
        <is>
          <t>Helios CLEAR Fund first close LP roster</t>
        </is>
      </c>
      <c r="G119" t="inlineStr">
        <is>
          <t>S118</t>
        </is>
      </c>
    </row>
    <row r="120" ht="15" customHeight="1" s="26">
      <c r="A120" s="2" t="inlineStr">
        <is>
          <t>Helios CLEAR Fund</t>
        </is>
      </c>
      <c r="B120" s="2" t="inlineStr">
        <is>
          <t>DFI disclosure</t>
        </is>
      </c>
      <c r="C120" s="2" t="inlineStr">
        <is>
          <t>BII — Helios CLEAR Fund SCSp investment profile</t>
        </is>
      </c>
      <c r="D120" s="2" t="inlineStr">
        <is>
          <t>May 2026</t>
        </is>
      </c>
      <c r="E120" s="2" t="inlineStr">
        <is>
          <t>https://www.bii.co.uk/en/our-impact/fund/helios-clear-fund-scsp-investment-01/</t>
        </is>
      </c>
      <c r="F120" s="2" t="inlineStr">
        <is>
          <t>BII USD 20m to Helios CLEAR</t>
        </is>
      </c>
      <c r="G120" t="inlineStr">
        <is>
          <t>S119</t>
        </is>
      </c>
    </row>
    <row r="121" ht="15" customHeight="1" s="26">
      <c r="A121" s="2" t="inlineStr">
        <is>
          <t>Helios CLEAR Fund</t>
        </is>
      </c>
      <c r="B121" s="2" t="inlineStr">
        <is>
          <t>DFI disclosure</t>
        </is>
      </c>
      <c r="C121" s="2" t="inlineStr">
        <is>
          <t>EIB — Helios CLEAR Fund SCSp (Project 20230054)</t>
        </is>
      </c>
      <c r="D121" s="2" t="inlineStr">
        <is>
          <t>May 2026</t>
        </is>
      </c>
      <c r="E121" s="2" t="inlineStr">
        <is>
          <t>https://www.eib.org/en/projects/all/20230054</t>
        </is>
      </c>
      <c r="F121" s="2" t="inlineStr">
        <is>
          <t>EIB investment in Helios CLEAR</t>
        </is>
      </c>
      <c r="G121" t="inlineStr">
        <is>
          <t>S120</t>
        </is>
      </c>
    </row>
    <row r="122" ht="23.25" customHeight="1" s="26">
      <c r="A122" s="2" t="inlineStr">
        <is>
          <t>Helios CLEAR Fund</t>
        </is>
      </c>
      <c r="B122" s="2" t="inlineStr">
        <is>
          <t>DFI disclosure</t>
        </is>
      </c>
      <c r="C122" s="2" t="inlineStr">
        <is>
          <t>SIFEM (responsAbility) — USD 15m to Helios CLEAR Fund first close</t>
        </is>
      </c>
      <c r="D122" s="2" t="inlineStr">
        <is>
          <t>May 2026</t>
        </is>
      </c>
      <c r="E122" s="2" t="inlineStr">
        <is>
          <t>https://www.responsability.com/en/press-releases/sifem-commits-usd-15-million-to-first-close-of-helios-clear-fund</t>
        </is>
      </c>
      <c r="F122" s="2" t="inlineStr">
        <is>
          <t>SIFEM co-anchor commitment</t>
        </is>
      </c>
      <c r="G122" t="inlineStr">
        <is>
          <t>S121</t>
        </is>
      </c>
    </row>
    <row r="123" ht="23.25" customHeight="1" s="26">
      <c r="A123" s="2" t="inlineStr">
        <is>
          <t>Helios Fund V</t>
        </is>
      </c>
      <c r="B123" s="2" t="inlineStr">
        <is>
          <t>DFI disclosure</t>
        </is>
      </c>
      <c r="C123" s="2" t="inlineStr">
        <is>
          <t>EIB Global — USD 75m in Helios Fund V (2025)</t>
        </is>
      </c>
      <c r="D123" s="2" t="inlineStr">
        <is>
          <t>May 2026</t>
        </is>
      </c>
      <c r="E123" s="2" t="inlineStr">
        <is>
          <t>https://www.eib.org/en/press/all/2025-103-eib-global-invests-usd75-million-in-helios-fund-v-to-support-africa-s-digitally-focused-businesses</t>
        </is>
      </c>
      <c r="F123" s="2" t="inlineStr">
        <is>
          <t>EIB Helios V commitment</t>
        </is>
      </c>
      <c r="G123" t="inlineStr">
        <is>
          <t>S122</t>
        </is>
      </c>
    </row>
    <row r="124" ht="23.25" customHeight="1" s="26">
      <c r="A124" s="2" t="inlineStr">
        <is>
          <t>DPI ADP IV</t>
        </is>
      </c>
      <c r="B124" s="2" t="inlineStr">
        <is>
          <t>Trade press</t>
        </is>
      </c>
      <c r="C124" s="2" t="inlineStr">
        <is>
          <t>ImpactAlpha — DPI reaches first close on fourth Africa fund</t>
        </is>
      </c>
      <c r="D124" s="2" t="inlineStr">
        <is>
          <t>May 2026</t>
        </is>
      </c>
      <c r="E124" s="2" t="inlineStr">
        <is>
          <t>https://impactalpha.com/development-partners-international-reaches-first-close-on-fourth-africa-fund/</t>
        </is>
      </c>
      <c r="F124" s="2" t="inlineStr">
        <is>
          <t>ADP IV first close detail</t>
        </is>
      </c>
      <c r="G124" t="inlineStr">
        <is>
          <t>S123</t>
        </is>
      </c>
    </row>
    <row r="125" ht="15" customHeight="1" s="26">
      <c r="A125" s="2" t="inlineStr">
        <is>
          <t>DPI ADP IV</t>
        </is>
      </c>
      <c r="B125" s="2" t="inlineStr">
        <is>
          <t>DFI disclosure</t>
        </is>
      </c>
      <c r="C125" s="2" t="inlineStr">
        <is>
          <t>IFC — African Development Partners IV LP (Project 50049)</t>
        </is>
      </c>
      <c r="D125" s="2" t="inlineStr">
        <is>
          <t>May 2026</t>
        </is>
      </c>
      <c r="E125" s="2" t="inlineStr">
        <is>
          <t>https://disclosures.ifc.org/project-detail/SII/50049/african-development-partners-iv-lp</t>
        </is>
      </c>
      <c r="F125" s="2" t="inlineStr">
        <is>
          <t>IFC ADP IV disclosure</t>
        </is>
      </c>
      <c r="G125" t="inlineStr">
        <is>
          <t>S124</t>
        </is>
      </c>
    </row>
    <row r="126" ht="15" customHeight="1" s="26">
      <c r="A126" s="2" t="inlineStr">
        <is>
          <t>DPI ADP IV</t>
        </is>
      </c>
      <c r="B126" s="2" t="inlineStr">
        <is>
          <t>DFI disclosure</t>
        </is>
      </c>
      <c r="C126" s="2" t="inlineStr">
        <is>
          <t>Africa Private Equity News — Proparco joins first close of DPI's ADP IV</t>
        </is>
      </c>
      <c r="D126" s="2" t="inlineStr">
        <is>
          <t>May 2026</t>
        </is>
      </c>
      <c r="E126" s="2" t="inlineStr">
        <is>
          <t>https://www.africaprivateequitynews.com/p/proparco-joins-first-close-of-dpis</t>
        </is>
      </c>
      <c r="F126" s="2" t="inlineStr">
        <is>
          <t>Proparco USD 42m commitment to ADP IV</t>
        </is>
      </c>
      <c r="G126" t="inlineStr">
        <is>
          <t>S125</t>
        </is>
      </c>
    </row>
    <row r="127" ht="23.25" customHeight="1" s="26">
      <c r="A127" s="2" t="inlineStr">
        <is>
          <t>Phatisa Food Fund 3</t>
        </is>
      </c>
      <c r="B127" s="2" t="inlineStr">
        <is>
          <t>DFI disclosure</t>
        </is>
      </c>
      <c r="C127" s="2" t="inlineStr">
        <is>
          <t>Phatisa Food Fund 3 first close $86m (BII / FinDev / Norfund / Swedfund / IFC)</t>
        </is>
      </c>
      <c r="D127" s="2" t="inlineStr">
        <is>
          <t>May 2026</t>
        </is>
      </c>
      <c r="E127" s="2" t="inlineStr">
        <is>
          <t>https://www.cbinsights.com/investor/phatisa-group</t>
        </is>
      </c>
      <c r="F127" s="2" t="inlineStr">
        <is>
          <t>Phatisa PFF3 LP roster</t>
        </is>
      </c>
      <c r="G127" t="inlineStr">
        <is>
          <t>S126</t>
        </is>
      </c>
    </row>
    <row r="128" ht="23.25" customHeight="1" s="26">
      <c r="A128" s="2" t="inlineStr">
        <is>
          <t>Vantage Mezzanine IV</t>
        </is>
      </c>
      <c r="B128" s="2" t="inlineStr">
        <is>
          <t>DFI disclosure</t>
        </is>
      </c>
      <c r="C128" s="2" t="inlineStr">
        <is>
          <t>EIB — Vantage Mezzanine IV Pan-African sub-fund partnership</t>
        </is>
      </c>
      <c r="D128" s="2" t="inlineStr">
        <is>
          <t>May 2026</t>
        </is>
      </c>
      <c r="E128" s="2" t="inlineStr">
        <is>
          <t>https://www.eib.org/en/products/equity/funds/vantage-mezzanine-iv-pan-african-sub-fund-partnership</t>
        </is>
      </c>
      <c r="F128" s="2" t="inlineStr">
        <is>
          <t>Vantage IV Pan-African sub-fund EIB participation</t>
        </is>
      </c>
      <c r="G128" t="inlineStr">
        <is>
          <t>S127</t>
        </is>
      </c>
    </row>
    <row r="129" ht="23.25" customHeight="1" s="26">
      <c r="A129" s="2" t="inlineStr">
        <is>
          <t>Vantage Mezzanine IV</t>
        </is>
      </c>
      <c r="B129" s="2" t="inlineStr">
        <is>
          <t>DFI disclosure</t>
        </is>
      </c>
      <c r="C129" s="2" t="inlineStr">
        <is>
          <t>BII — Vantage Mezzanine IV Pan-African Sub-Fund profile</t>
        </is>
      </c>
      <c r="D129" s="2" t="inlineStr">
        <is>
          <t>May 2026</t>
        </is>
      </c>
      <c r="E129" s="2" t="inlineStr">
        <is>
          <t>https://www.bii.co.uk/en/our-impact/fund/vantage-mezzanine-iv-pan-african-sub-fund-investment-01/</t>
        </is>
      </c>
      <c r="F129" s="2" t="inlineStr">
        <is>
          <t>BII Vantage IV commitment</t>
        </is>
      </c>
      <c r="G129" t="inlineStr">
        <is>
          <t>S128</t>
        </is>
      </c>
    </row>
    <row r="130" ht="15" customHeight="1" s="26">
      <c r="A130" s="2" t="inlineStr">
        <is>
          <t>Vantage Mezzanine IV</t>
        </is>
      </c>
      <c r="B130" s="2" t="inlineStr">
        <is>
          <t>DFI disclosure</t>
        </is>
      </c>
      <c r="C130" s="2" t="inlineStr">
        <is>
          <t>Swedfund — Vantage Mezzanine Fund IV</t>
        </is>
      </c>
      <c r="D130" s="2" t="inlineStr">
        <is>
          <t>May 2026</t>
        </is>
      </c>
      <c r="E130" s="2" t="inlineStr">
        <is>
          <t>https://www.swedfund.se/en/investments-and-projects/vantage-mezzanine-fund-iv</t>
        </is>
      </c>
      <c r="F130" s="2" t="inlineStr">
        <is>
          <t>Swedfund Vantage IV commitment</t>
        </is>
      </c>
      <c r="G130" t="inlineStr">
        <is>
          <t>S129</t>
        </is>
      </c>
    </row>
    <row r="131" ht="23.25" customHeight="1" s="26">
      <c r="A131" s="2" t="inlineStr">
        <is>
          <t>Vantage Mezzanine IV</t>
        </is>
      </c>
      <c r="B131" s="2" t="inlineStr">
        <is>
          <t>Trade press</t>
        </is>
      </c>
      <c r="C131" s="2" t="inlineStr">
        <is>
          <t>Africa Global Funds — Vantage closes fourth mezzanine fund</t>
        </is>
      </c>
      <c r="D131" s="2" t="inlineStr">
        <is>
          <t>May 2026</t>
        </is>
      </c>
      <c r="E131" s="2" t="inlineStr">
        <is>
          <t>https://www.africaglobalfunds.com/news/private-equity/fundraising/vantage-closes-fourth-mezzanine-fund/</t>
        </is>
      </c>
      <c r="F131" s="2" t="inlineStr">
        <is>
          <t>Vantage IV close + LP narrative incl. 'Southern African pension funds'</t>
        </is>
      </c>
      <c r="G131" t="inlineStr">
        <is>
          <t>S130</t>
        </is>
      </c>
    </row>
    <row r="132" ht="23.25" customHeight="1" s="26">
      <c r="A132" s="2" t="inlineStr">
        <is>
          <t>Vantage Mezzanine IV</t>
        </is>
      </c>
      <c r="B132" s="2" t="inlineStr">
        <is>
          <t>DFI disclosure</t>
        </is>
      </c>
      <c r="C132" s="2" t="inlineStr">
        <is>
          <t>IFC — Vantage Capital Mezzanine investment</t>
        </is>
      </c>
      <c r="D132" s="2" t="inlineStr">
        <is>
          <t>May 2026</t>
        </is>
      </c>
      <c r="E132" s="2" t="inlineStr">
        <is>
          <t>https://www.ifc.org/en/pressroom/2021/ifc-invests-in-vantage-capitals-mezzanine-fund-to-support-fast-g</t>
        </is>
      </c>
      <c r="F132" s="2" t="inlineStr">
        <is>
          <t>IFC Vantage commitment</t>
        </is>
      </c>
      <c r="G132" t="inlineStr">
        <is>
          <t>S131</t>
        </is>
      </c>
    </row>
    <row r="133" ht="23.25" customHeight="1" s="26">
      <c r="A133" s="2" t="inlineStr">
        <is>
          <t>Verod-Kepple Africa Fund I</t>
        </is>
      </c>
      <c r="B133" s="2" t="inlineStr">
        <is>
          <t>Trade press</t>
        </is>
      </c>
      <c r="C133" s="2" t="inlineStr">
        <is>
          <t>TechCrunch — Verod-Kepple closes first fund at $60m (April 2024)</t>
        </is>
      </c>
      <c r="D133" s="2" t="inlineStr">
        <is>
          <t>May 2026</t>
        </is>
      </c>
      <c r="E133" s="2" t="inlineStr">
        <is>
          <t>https://techcrunch.com/2024/04/09/verod-kepple-closes-first-fund-at-60m/</t>
        </is>
      </c>
      <c r="F133" s="2" t="inlineStr">
        <is>
          <t>Verod-Kepple Africa VC Fund I close</t>
        </is>
      </c>
      <c r="G133" t="inlineStr">
        <is>
          <t>S132</t>
        </is>
      </c>
    </row>
    <row r="134" ht="34.5" customHeight="1" s="26">
      <c r="A134" s="2" t="inlineStr">
        <is>
          <t>Adenia V</t>
        </is>
      </c>
      <c r="B134" s="2" t="inlineStr">
        <is>
          <t>DFI disclosure</t>
        </is>
      </c>
      <c r="C134" s="2" t="inlineStr">
        <is>
          <t>EIB — Adenia Capital V LP page</t>
        </is>
      </c>
      <c r="D134" s="2" t="inlineStr">
        <is>
          <t>May 2026</t>
        </is>
      </c>
      <c r="E134" s="2" t="inlineStr">
        <is>
          <t>https://www.eib.org/en/products/equity/funds/adenia-capital-v</t>
        </is>
      </c>
      <c r="F134" s="2" t="inlineStr">
        <is>
          <t>Comprehensive named LP list: Blue Earth, Bpifrance, Casey Family, DEG, DFC, EIB, FMO, IFC, Norfund, Findev Canada, PIC, Proparco, SIFEM, South Suez Capital</t>
        </is>
      </c>
      <c r="G134" t="inlineStr">
        <is>
          <t>S133</t>
        </is>
      </c>
    </row>
    <row r="135" ht="15" customHeight="1" s="26">
      <c r="A135" s="2" t="inlineStr">
        <is>
          <t>Adenia V</t>
        </is>
      </c>
      <c r="B135" s="2" t="inlineStr">
        <is>
          <t>DFI disclosure</t>
        </is>
      </c>
      <c r="C135" s="2" t="inlineStr">
        <is>
          <t>IFC — Adenia V Project Disclosure (project 45890)</t>
        </is>
      </c>
      <c r="D135" s="2" t="inlineStr">
        <is>
          <t>May 2026</t>
        </is>
      </c>
      <c r="E135" s="2" t="inlineStr">
        <is>
          <t>https://disclosures.ifc.org/project-detail/SII/45890/adenia-v-project</t>
        </is>
      </c>
      <c r="F135" s="2" t="inlineStr">
        <is>
          <t>IFC Adenia V SII</t>
        </is>
      </c>
      <c r="G135" t="inlineStr">
        <is>
          <t>S134</t>
        </is>
      </c>
    </row>
    <row r="136" ht="15" customHeight="1" s="26">
      <c r="A136" s="2" t="inlineStr">
        <is>
          <t>Adenia V</t>
        </is>
      </c>
      <c r="B136" s="2" t="inlineStr">
        <is>
          <t>DFI tracking</t>
        </is>
      </c>
      <c r="C136" s="2" t="inlineStr">
        <is>
          <t>EWS — Adenia V tracking (IFC-45890)</t>
        </is>
      </c>
      <c r="D136" s="2" t="inlineStr">
        <is>
          <t>May 2026</t>
        </is>
      </c>
      <c r="E136" s="2" t="inlineStr">
        <is>
          <t>https://ewsdata.rightsindevelopment.org/projects/45890-adenia-v/</t>
        </is>
      </c>
      <c r="F136" s="2" t="inlineStr">
        <is>
          <t>Civil-society tracking of IFC project</t>
        </is>
      </c>
      <c r="G136" t="inlineStr">
        <is>
          <t>S135</t>
        </is>
      </c>
    </row>
    <row r="137" ht="23.25" customHeight="1" s="26">
      <c r="A137" s="2" t="inlineStr">
        <is>
          <t>ADP IV</t>
        </is>
      </c>
      <c r="B137" s="2" t="inlineStr">
        <is>
          <t>DFI disclosure</t>
        </is>
      </c>
      <c r="C137" s="2" t="inlineStr">
        <is>
          <t>IFC SII — African Development Partners IV (project 50049)</t>
        </is>
      </c>
      <c r="D137" s="2" t="inlineStr">
        <is>
          <t>May 2026</t>
        </is>
      </c>
      <c r="E137" s="2" t="inlineStr">
        <is>
          <t>https://disclosures.ifc.org/project-detail/SII/50049/african-development-partners-iv-lp</t>
        </is>
      </c>
      <c r="F137" s="2" t="inlineStr">
        <is>
          <t>IFC USD 75m commitment to ADP IV; up to 20% of total; USD 50m co-invest envelope. Target USD 1bn.</t>
        </is>
      </c>
      <c r="G137" t="inlineStr">
        <is>
          <t>S136</t>
        </is>
      </c>
    </row>
    <row r="138" ht="15" customHeight="1" s="26">
      <c r="A138" s="2" t="inlineStr">
        <is>
          <t>Vantage Mezzanine IV</t>
        </is>
      </c>
      <c r="B138" s="2" t="inlineStr">
        <is>
          <t>DFI disclosure</t>
        </is>
      </c>
      <c r="C138" s="2" t="inlineStr">
        <is>
          <t>IFC SII — Vantage Mezzanine Fund IV (project 45092)</t>
        </is>
      </c>
      <c r="D138" s="2" t="inlineStr">
        <is>
          <t>May 2026</t>
        </is>
      </c>
      <c r="E138" s="2" t="inlineStr">
        <is>
          <t>https://disclosures.ifc.org/project-detail/SII/45092/vantage-mezzanine-fund-iv</t>
        </is>
      </c>
      <c r="F138" s="2" t="inlineStr">
        <is>
          <t>IFC commitment to Vantage IV</t>
        </is>
      </c>
      <c r="G138" t="inlineStr">
        <is>
          <t>S137</t>
        </is>
      </c>
    </row>
    <row r="139" ht="23.25" customHeight="1" s="26">
      <c r="A139" s="2" t="inlineStr">
        <is>
          <t>Vantage Mezzanine IV</t>
        </is>
      </c>
      <c r="B139" s="2" t="inlineStr">
        <is>
          <t>GP announcement</t>
        </is>
      </c>
      <c r="C139" s="2" t="inlineStr">
        <is>
          <t>Vantage Capital — Final close of fourth mezzanine fund</t>
        </is>
      </c>
      <c r="D139" s="2" t="inlineStr">
        <is>
          <t>May 2026</t>
        </is>
      </c>
      <c r="E139" s="2" t="inlineStr">
        <is>
          <t>https://www.vantagecapital.co.za/vantage-capital-announces-the-final-close-of-its-fourth-mezzanine-fund/</t>
        </is>
      </c>
      <c r="F139" s="2" t="inlineStr">
        <is>
          <t>Vantage Mezz IV USD 377m final close</t>
        </is>
      </c>
      <c r="G139" t="inlineStr">
        <is>
          <t>S138</t>
        </is>
      </c>
    </row>
    <row r="140" ht="23.25" customHeight="1" s="26">
      <c r="A140" s="2" t="inlineStr">
        <is>
          <t>Sahel Capital FAFIN</t>
        </is>
      </c>
      <c r="B140" s="2" t="inlineStr">
        <is>
          <t>Allocator disclosure</t>
        </is>
      </c>
      <c r="C140" s="2" t="inlineStr">
        <is>
          <t>NSIA — Sahel Capital closes FAFIN at USD 65.9m</t>
        </is>
      </c>
      <c r="D140" s="2" t="inlineStr">
        <is>
          <t>May 2026</t>
        </is>
      </c>
      <c r="E140" s="2" t="inlineStr">
        <is>
          <t>https://nsia.com.ng/sahel-capital-closes-fund-for-agricultural-finance-in-nigeria-fafin-at-65-9-milllion-2/</t>
        </is>
      </c>
      <c r="F140" s="2" t="inlineStr">
        <is>
          <t>NSIA confirmation as FAFIN LP; LPs: AfDB, CDC/BII, DGGF, NSIA</t>
        </is>
      </c>
      <c r="G140" t="inlineStr">
        <is>
          <t>S139</t>
        </is>
      </c>
    </row>
    <row r="141" ht="23.25" customHeight="1" s="26">
      <c r="A141" s="2" t="inlineStr">
        <is>
          <t>Sahel Capital</t>
        </is>
      </c>
      <c r="B141" s="2" t="inlineStr">
        <is>
          <t>GP website</t>
        </is>
      </c>
      <c r="C141" s="2" t="inlineStr">
        <is>
          <t>Sahel Capital — Private Equity portfolio (FAFIN, SCAF II, SEFAA, Private Debt Fund)</t>
        </is>
      </c>
      <c r="D141" s="2" t="inlineStr">
        <is>
          <t>May 2026</t>
        </is>
      </c>
      <c r="E141" s="2" t="inlineStr">
        <is>
          <t>https://sahelcapital.com/private-equity/</t>
        </is>
      </c>
      <c r="F141" s="2" t="inlineStr">
        <is>
          <t>Sahel Capital fund family</t>
        </is>
      </c>
      <c r="G141" t="inlineStr">
        <is>
          <t>S140</t>
        </is>
      </c>
    </row>
    <row r="142" ht="15" customHeight="1" s="26">
      <c r="A142" s="2" t="inlineStr">
        <is>
          <t>Sahel Capital FAFIN</t>
        </is>
      </c>
      <c r="B142" s="2" t="inlineStr">
        <is>
          <t>DFI disclosure</t>
        </is>
      </c>
      <c r="C142" s="2" t="inlineStr">
        <is>
          <t>BII — Sahel Capital FAFIN profile</t>
        </is>
      </c>
      <c r="D142" s="2" t="inlineStr">
        <is>
          <t>May 2026</t>
        </is>
      </c>
      <c r="E142" s="2" t="inlineStr">
        <is>
          <t>https://www.bii.co.uk/our-impact/fund/sahel-capital-fafin/</t>
        </is>
      </c>
      <c r="F142" s="2" t="inlineStr">
        <is>
          <t>BII/CDC commitment to FAFIN</t>
        </is>
      </c>
      <c r="G142" t="inlineStr">
        <is>
          <t>S141</t>
        </is>
      </c>
    </row>
    <row r="143" ht="23.25" customHeight="1" s="26">
      <c r="A143" s="2" t="inlineStr">
        <is>
          <t>Sahel Agribusiness Private Debt Fund</t>
        </is>
      </c>
      <c r="B143" s="2" t="inlineStr">
        <is>
          <t>Trade press</t>
        </is>
      </c>
      <c r="C143" s="2" t="inlineStr">
        <is>
          <t>Ecofin — Sahel Capital launches USD 55.4m agribusiness fund</t>
        </is>
      </c>
      <c r="D143" s="2" t="inlineStr">
        <is>
          <t>May 2026</t>
        </is>
      </c>
      <c r="E143" s="2" t="inlineStr">
        <is>
          <t>https://www.ecofinagency.com/news-finances/2502-53253-nigerian-investment-firm-sahel-capital-launches-55-million-fund-to-narrow-farm-finance-gap</t>
        </is>
      </c>
      <c r="F143" s="2" t="inlineStr">
        <is>
          <t>NGN 75bn fund; eligible investors include pension funds; Stanbic IBTC in partner consortium</t>
        </is>
      </c>
      <c r="G143" t="inlineStr">
        <is>
          <t>S142</t>
        </is>
      </c>
    </row>
    <row r="144" ht="34.5" customHeight="1" s="26">
      <c r="A144" s="2" t="inlineStr">
        <is>
          <t>Yield Uganda Investment Fund</t>
        </is>
      </c>
      <c r="B144" s="2" t="inlineStr">
        <is>
          <t>Allocator disclosure</t>
        </is>
      </c>
      <c r="C144" s="2" t="inlineStr">
        <is>
          <t>Pearl Capital Partners — Yield Uganda Annual Report 2023</t>
        </is>
      </c>
      <c r="D144" s="2" t="inlineStr">
        <is>
          <t>May 2026</t>
        </is>
      </c>
      <c r="E144" s="2" t="inlineStr">
        <is>
          <t>https://pearlcapital.net/yield-uganda-investment-fund-annual-report-2023/</t>
        </is>
      </c>
      <c r="F144" s="2" t="inlineStr">
        <is>
          <t>Yield Uganda full LP list: EU/IFAD, NSSF Uganda (EUR 2m), FCA Investments, Soros Economic Development Fund; total EUR 20m</t>
        </is>
      </c>
      <c r="G144" t="inlineStr">
        <is>
          <t>S143</t>
        </is>
      </c>
    </row>
    <row r="145" ht="23.25" customHeight="1" s="26">
      <c r="A145" s="2" t="inlineStr">
        <is>
          <t>Yield Uganda Investment Fund</t>
        </is>
      </c>
      <c r="B145" s="2" t="inlineStr">
        <is>
          <t>DFI disclosure</t>
        </is>
      </c>
      <c r="C145" s="2" t="inlineStr">
        <is>
          <t>Pearl Capital Partners — Yield Uganda first close announcement</t>
        </is>
      </c>
      <c r="D145" s="2" t="inlineStr">
        <is>
          <t>May 2026</t>
        </is>
      </c>
      <c r="E145" s="2" t="inlineStr">
        <is>
          <t>https://www.globalaginvesting.com/pearl-capital-partners-announces-first-close-yield-uganda-investment-fund/</t>
        </is>
      </c>
      <c r="F145" s="2" t="inlineStr">
        <is>
          <t>EU/IFAD EUR 10m + NSSF Uganda EUR 2m founding</t>
        </is>
      </c>
      <c r="G145" t="inlineStr">
        <is>
          <t>S144</t>
        </is>
      </c>
    </row>
    <row r="146" ht="23.25" customHeight="1" s="26">
      <c r="A146" s="2" t="inlineStr">
        <is>
          <t>African Capital Alliance (ACA)</t>
        </is>
      </c>
      <c r="B146" s="2" t="inlineStr">
        <is>
          <t>GP website</t>
        </is>
      </c>
      <c r="C146" s="2" t="inlineStr">
        <is>
          <t>African Capital Alliance — About / corporate site</t>
        </is>
      </c>
      <c r="D146" s="2" t="inlineStr">
        <is>
          <t>May 2026</t>
        </is>
      </c>
      <c r="E146" s="2" t="inlineStr">
        <is>
          <t>https://www.acagp.com/about-african-capital-alliance/</t>
        </is>
      </c>
      <c r="F146" s="2" t="inlineStr">
        <is>
          <t>ACA history; CAPE fund family context; championed Nigerian pension PE inclusion</t>
        </is>
      </c>
      <c r="G146" t="inlineStr">
        <is>
          <t>S145</t>
        </is>
      </c>
    </row>
    <row r="147" ht="23.25" customHeight="1" s="26">
      <c r="A147" s="2" t="inlineStr">
        <is>
          <t>African Capital Alliance (ACA)</t>
        </is>
      </c>
      <c r="B147" s="2" t="inlineStr">
        <is>
          <t>AVCA interview</t>
        </is>
      </c>
      <c r="C147" s="2" t="inlineStr">
        <is>
          <t>AVCA — ACA member interview (2021)</t>
        </is>
      </c>
      <c r="D147" s="2" t="inlineStr">
        <is>
          <t>May 2026</t>
        </is>
      </c>
      <c r="E147" s="2" t="inlineStr">
        <is>
          <t>https://www.avca.africa/media/msafqt3i/2021-03_aca-member-interview.pdf</t>
        </is>
      </c>
      <c r="F147" s="2" t="inlineStr">
        <is>
          <t>ACA narrative and PE-pension history in Nigeria</t>
        </is>
      </c>
      <c r="G147" t="inlineStr">
        <is>
          <t>S146</t>
        </is>
      </c>
    </row>
    <row r="148" ht="15" customHeight="1" s="26">
      <c r="A148" s="2" t="inlineStr">
        <is>
          <t>CAPE IV</t>
        </is>
      </c>
      <c r="B148" s="2" t="inlineStr">
        <is>
          <t>DFI disclosure</t>
        </is>
      </c>
      <c r="C148" s="2" t="inlineStr">
        <is>
          <t>BII — Capital Alliance Private Equity IV profile</t>
        </is>
      </c>
      <c r="D148" s="2" t="inlineStr">
        <is>
          <t>May 2026</t>
        </is>
      </c>
      <c r="E148" s="2" t="inlineStr">
        <is>
          <t>https://www.bii.co.uk/en/our-impact/fund/capital-alliance-private-equity-iv-cape-iv/</t>
        </is>
      </c>
      <c r="F148" s="2" t="inlineStr">
        <is>
          <t>BII commitment to CAPE IV</t>
        </is>
      </c>
      <c r="G148" t="inlineStr">
        <is>
          <t>S147</t>
        </is>
      </c>
    </row>
    <row r="149" ht="15" customHeight="1" s="26">
      <c r="A149" s="2" t="inlineStr">
        <is>
          <t>KEPFIC</t>
        </is>
      </c>
      <c r="B149" s="2" t="inlineStr">
        <is>
          <t>Trade press</t>
        </is>
      </c>
      <c r="C149" s="2" t="inlineStr">
        <is>
          <t>AmCham Kenya — US announces new Kenyan pension consortium</t>
        </is>
      </c>
      <c r="D149" s="2" t="inlineStr">
        <is>
          <t>May 2026</t>
        </is>
      </c>
      <c r="E149" s="2" t="inlineStr">
        <is>
          <t>https://amcham.co.ke/node/876</t>
        </is>
      </c>
      <c r="F149" s="2" t="inlineStr">
        <is>
          <t>KEPFIC founding and US/USAID support</t>
        </is>
      </c>
      <c r="G149" t="inlineStr">
        <is>
          <t>S148</t>
        </is>
      </c>
    </row>
    <row r="150" ht="23.25" customHeight="1" s="26">
      <c r="A150" s="2" t="inlineStr">
        <is>
          <t>KEPFIC</t>
        </is>
      </c>
      <c r="B150" s="2" t="inlineStr">
        <is>
          <t>Trade press</t>
        </is>
      </c>
      <c r="C150" s="2" t="inlineStr">
        <is>
          <t>HapaKenya — KEPFIC set to invest in infrastructure (Feb 2022)</t>
        </is>
      </c>
      <c r="D150" s="2" t="inlineStr">
        <is>
          <t>May 2026</t>
        </is>
      </c>
      <c r="E150" s="2" t="inlineStr">
        <is>
          <t>https://hapakenya.com/2022/02/18/kepfic-a-pension-fund-consortium-is-set-to-start-investing-in-infrastructure-projects-in-diversification-strategy/</t>
        </is>
      </c>
      <c r="F150" s="2" t="inlineStr">
        <is>
          <t>KEPFIC investment plan launch</t>
        </is>
      </c>
      <c r="G150" t="inlineStr">
        <is>
          <t>S149</t>
        </is>
      </c>
    </row>
    <row r="151" ht="23.25" customHeight="1" s="26">
      <c r="A151" s="2" t="inlineStr">
        <is>
          <t>KEPFIC</t>
        </is>
      </c>
      <c r="B151" s="2" t="inlineStr">
        <is>
          <t>Trade press</t>
        </is>
      </c>
      <c r="C151" s="2" t="inlineStr">
        <is>
          <t>Streamline Feed — Pension Funds Launch Consortium for State Projects</t>
        </is>
      </c>
      <c r="D151" s="2" t="inlineStr">
        <is>
          <t>May 2026</t>
        </is>
      </c>
      <c r="E151" s="2" t="inlineStr">
        <is>
          <t>https://streamlinefeed.co.ke/news/pension-funds-launch-consortium-to-channel-billions-into-state-projects</t>
        </is>
      </c>
      <c r="F151" s="2" t="inlineStr">
        <is>
          <t>KEPFIC member context</t>
        </is>
      </c>
      <c r="G151" t="inlineStr">
        <is>
          <t>S150</t>
        </is>
      </c>
    </row>
    <row r="152" ht="23.25" customHeight="1" s="26">
      <c r="A152" s="2" t="inlineStr">
        <is>
          <t>KEPFIC</t>
        </is>
      </c>
      <c r="B152" s="2" t="inlineStr">
        <is>
          <t>Trade press</t>
        </is>
      </c>
      <c r="C152" s="2" t="inlineStr">
        <is>
          <t>Bizna Kenya — Local Pension Schemes Accelerate Investment in Infrastructure</t>
        </is>
      </c>
      <c r="D152" s="2" t="inlineStr">
        <is>
          <t>May 2026</t>
        </is>
      </c>
      <c r="E152" s="2" t="inlineStr">
        <is>
          <t>https://biznakenya.com/pension-2/</t>
        </is>
      </c>
      <c r="F152" s="2" t="inlineStr">
        <is>
          <t>KEPFIC progress coverage</t>
        </is>
      </c>
      <c r="G152" t="inlineStr">
        <is>
          <t>S151</t>
        </is>
      </c>
    </row>
    <row r="153" ht="15" customHeight="1" s="26">
      <c r="A153" s="2" t="inlineStr">
        <is>
          <t>Adenia AEF</t>
        </is>
      </c>
      <c r="B153" s="2" t="inlineStr">
        <is>
          <t>GP website</t>
        </is>
      </c>
      <c r="C153" s="2" t="inlineStr">
        <is>
          <t>Adenia — Africa Entrepreneurial Fund (AEF) page</t>
        </is>
      </c>
      <c r="D153" s="2" t="inlineStr">
        <is>
          <t>May 2026</t>
        </is>
      </c>
      <c r="E153" s="2" t="inlineStr">
        <is>
          <t>https://www.adenia.com/investments/</t>
        </is>
      </c>
      <c r="F153" s="2" t="inlineStr">
        <is>
          <t>Adenia AEF first close $180m</t>
        </is>
      </c>
      <c r="G153" t="inlineStr">
        <is>
          <t>S152</t>
        </is>
      </c>
    </row>
    <row r="154" ht="23.25" customHeight="1" s="26">
      <c r="A154" s="2" t="inlineStr">
        <is>
          <t>RSSB Rwanda</t>
        </is>
      </c>
      <c r="B154" s="2" t="inlineStr">
        <is>
          <t>Press release</t>
        </is>
      </c>
      <c r="C154" s="2" t="inlineStr">
        <is>
          <t>FSD Africa — RSSB Anchors First Close of USD 100m Rwanda SME Fund Managed by Enko Capital (28 April 2026)</t>
        </is>
      </c>
      <c r="D154" s="2" t="inlineStr">
        <is>
          <t>May 2026</t>
        </is>
      </c>
      <c r="E154" s="2" t="inlineStr">
        <is>
          <t>https://fsdafrica.org/enko-capital-rwanda-reaches-first-close-of-its-rssb-anchored-us-100-million-sme-fund-to-fuel-rwandas-economic-growth/</t>
        </is>
      </c>
      <c r="F154" s="2" t="inlineStr">
        <is>
          <t>RSSB USD 30m anchor + USD 3m TA seed to Enko Capital Rwanda SME Growth Fund</t>
        </is>
      </c>
      <c r="G154" t="inlineStr">
        <is>
          <t>S153</t>
        </is>
      </c>
    </row>
    <row r="155" ht="23.25" customHeight="1" s="26">
      <c r="A155" s="2" t="inlineStr">
        <is>
          <t>RSSB Rwanda</t>
        </is>
      </c>
      <c r="B155" s="2" t="inlineStr">
        <is>
          <t>Trade press</t>
        </is>
      </c>
      <c r="C155" s="2" t="inlineStr">
        <is>
          <t>Africa Private Equity News — Enko Capital-managed Rwanda SME fund receives $30m anchor commitment</t>
        </is>
      </c>
      <c r="D155" s="2" t="inlineStr">
        <is>
          <t>May 2026</t>
        </is>
      </c>
      <c r="E155" s="2" t="inlineStr">
        <is>
          <t>https://www.africaprivateequitynews.com/p/enko-capital-managed-rwanda-sme-fund</t>
        </is>
      </c>
      <c r="F155" s="2" t="inlineStr">
        <is>
          <t>Coverage of RSSB-Enko commitment</t>
        </is>
      </c>
      <c r="G155" t="inlineStr">
        <is>
          <t>S154</t>
        </is>
      </c>
    </row>
    <row r="156" ht="23.25" customHeight="1" s="26">
      <c r="A156" s="2" t="inlineStr">
        <is>
          <t>RSSB Rwanda</t>
        </is>
      </c>
      <c r="B156" s="2" t="inlineStr">
        <is>
          <t>Trade press</t>
        </is>
      </c>
      <c r="C156" s="2" t="inlineStr">
        <is>
          <t>KT Press — An Unusual Investor Steps In to Back Rwanda's Small Businesses (April 2026)</t>
        </is>
      </c>
      <c r="D156" s="2" t="inlineStr">
        <is>
          <t>May 2026</t>
        </is>
      </c>
      <c r="E156" s="2" t="inlineStr">
        <is>
          <t>https://www.ktpress.rw/2026/04/an-unusual-investor-steps-in-to-back-rwandas-small-businesses/</t>
        </is>
      </c>
      <c r="F156" s="2" t="inlineStr">
        <is>
          <t>Local Rwandan coverage of RSSB SME Growth Fund</t>
        </is>
      </c>
      <c r="G156" t="inlineStr">
        <is>
          <t>S155</t>
        </is>
      </c>
    </row>
    <row r="157" ht="15" customHeight="1" s="26">
      <c r="A157" s="2" t="inlineStr">
        <is>
          <t>AOFSA</t>
        </is>
      </c>
      <c r="B157" s="2" t="inlineStr">
        <is>
          <t>Press release</t>
        </is>
      </c>
      <c r="C157" s="2" t="inlineStr">
        <is>
          <t>Batseta + USAID + MiDA Advisors — AOFSA launch (Nov 2021)</t>
        </is>
      </c>
      <c r="D157" s="2" t="inlineStr">
        <is>
          <t>May 2026</t>
        </is>
      </c>
      <c r="E157" s="2" t="inlineStr">
        <is>
          <t>https://www.ebnet.co.za/asset-owners-forum-south-africa-aofsa-launched/</t>
        </is>
      </c>
      <c r="F157" s="2" t="inlineStr">
        <is>
          <t>AOFSA launch announcement; founding member context</t>
        </is>
      </c>
      <c r="G157" t="inlineStr">
        <is>
          <t>S156</t>
        </is>
      </c>
    </row>
    <row r="158" ht="15" customHeight="1" s="26">
      <c r="A158" s="2" t="inlineStr">
        <is>
          <t>AOFSA</t>
        </is>
      </c>
      <c r="B158" s="2" t="inlineStr">
        <is>
          <t>Allocator disclosure</t>
        </is>
      </c>
      <c r="C158" s="2" t="inlineStr">
        <is>
          <t>Batseta Council — AOFSA page</t>
        </is>
      </c>
      <c r="D158" s="2" t="inlineStr">
        <is>
          <t>May 2026</t>
        </is>
      </c>
      <c r="E158" s="2" t="inlineStr">
        <is>
          <t>https://www.batseta.org.za/assetownersforum</t>
        </is>
      </c>
      <c r="F158" s="2" t="inlineStr">
        <is>
          <t>Batseta secretariat / AOFSA detail</t>
        </is>
      </c>
      <c r="G158" t="inlineStr">
        <is>
          <t>S157</t>
        </is>
      </c>
    </row>
    <row r="159" ht="15" customHeight="1" s="26">
      <c r="A159" s="2" t="inlineStr">
        <is>
          <t>AOFSA</t>
        </is>
      </c>
      <c r="B159" s="2" t="inlineStr">
        <is>
          <t>DFI document</t>
        </is>
      </c>
      <c r="C159" s="2" t="inlineStr">
        <is>
          <t>MiDA Advisors — Asset Owners Forum of South Africa</t>
        </is>
      </c>
      <c r="D159" s="2" t="inlineStr">
        <is>
          <t>May 2026</t>
        </is>
      </c>
      <c r="E159" s="2" t="inlineStr">
        <is>
          <t>https://www.midaadvisors.com/advisory-firm-the-asset-owners-forum-south-africa</t>
        </is>
      </c>
      <c r="F159" s="2" t="inlineStr">
        <is>
          <t>MiDA technical assistance to AOFSA</t>
        </is>
      </c>
      <c r="G159" t="inlineStr">
        <is>
          <t>S158</t>
        </is>
      </c>
    </row>
    <row r="160" ht="23.25" customHeight="1" s="26">
      <c r="A160" s="2" t="inlineStr">
        <is>
          <t>AOFSA</t>
        </is>
      </c>
      <c r="B160" s="2" t="inlineStr">
        <is>
          <t>Trade press</t>
        </is>
      </c>
      <c r="C160" s="2" t="inlineStr">
        <is>
          <t>Moneyweb — Retirement funds set up forum to boost infrastructure investment (2021)</t>
        </is>
      </c>
      <c r="D160" s="2" t="inlineStr">
        <is>
          <t>May 2026</t>
        </is>
      </c>
      <c r="E160" s="2" t="inlineStr">
        <is>
          <t>https://www.moneyweb.co.za/news/south-africa/retirement-funds-set-up-forum-to-boost-infrastructure-investment/</t>
        </is>
      </c>
      <c r="F160" s="2" t="inlineStr">
        <is>
          <t>AOFSA founding member coverage</t>
        </is>
      </c>
      <c r="G160" t="inlineStr">
        <is>
          <t>S159</t>
        </is>
      </c>
    </row>
    <row r="161" ht="23.25" customHeight="1" s="26">
      <c r="A161" s="2" t="inlineStr">
        <is>
          <t>AOFSA</t>
        </is>
      </c>
      <c r="B161" s="2" t="inlineStr">
        <is>
          <t>Allocator disclosure</t>
        </is>
      </c>
      <c r="C161" s="2" t="inlineStr">
        <is>
          <t>MiDA — AOFSA exceeds infrastructure investment target at 1st anniversary</t>
        </is>
      </c>
      <c r="D161" s="2" t="inlineStr">
        <is>
          <t>May 2026</t>
        </is>
      </c>
      <c r="E161" s="2" t="inlineStr">
        <is>
          <t>https://www.midaadvisors.com/advisory-firm-news-and-media/media/at-its-first-anniversary-asset-owners-forum-south-africa-exceeds-infrastructure-investment-target-builds-for-the-future</t>
        </is>
      </c>
      <c r="F161" s="2" t="inlineStr">
        <is>
          <t>AOFSA exceeded R3.75bn target in first year</t>
        </is>
      </c>
      <c r="G161" t="inlineStr">
        <is>
          <t>S160</t>
        </is>
      </c>
    </row>
    <row r="162" ht="23.25" customHeight="1" s="26">
      <c r="A162" s="2" t="inlineStr">
        <is>
          <t>AOFSA</t>
        </is>
      </c>
      <c r="B162" s="2" t="inlineStr">
        <is>
          <t>Trade press</t>
        </is>
      </c>
      <c r="C162" s="2" t="inlineStr">
        <is>
          <t>Property24 — SA pension funds join forces to invest in infrastructure (2021)</t>
        </is>
      </c>
      <c r="D162" s="2" t="inlineStr">
        <is>
          <t>May 2026</t>
        </is>
      </c>
      <c r="E162" s="2" t="inlineStr">
        <is>
          <t>https://www.property24.com/articles/sa-pension-funds-join-forces-to-invest-in-infrastructure-development/30753</t>
        </is>
      </c>
      <c r="F162" s="2" t="inlineStr">
        <is>
          <t>AOFSA member coverage</t>
        </is>
      </c>
      <c r="G162" t="inlineStr">
        <is>
          <t>S161</t>
        </is>
      </c>
    </row>
    <row r="163" ht="23.25" customHeight="1" s="26">
      <c r="A163" s="2" t="inlineStr">
        <is>
          <t>AOFSA</t>
        </is>
      </c>
      <c r="B163" s="2" t="inlineStr">
        <is>
          <t>DFI document</t>
        </is>
      </c>
      <c r="C163" s="2" t="inlineStr">
        <is>
          <t>Africa PSA mirror - U.S., Kenyan and South African Pension Funds Commit Over $94m to African PE &amp; Infrastructure</t>
        </is>
      </c>
      <c r="D163" s="2" t="inlineStr">
        <is>
          <t>May 2026</t>
        </is>
      </c>
      <c r="E163" s="2" t="inlineStr">
        <is>
          <t>https://www.africapsa.org/news/u-s-kenyan-and-south-african-pension-funds-commit-over-94-million-to-african-private-equity-infrastructure/</t>
        </is>
      </c>
      <c r="F163" s="2" t="inlineStr">
        <is>
          <t>Prosper Africa / USAID context for KEPFIC + AOFSA</t>
        </is>
      </c>
      <c r="G163" t="inlineStr">
        <is>
          <t>S162</t>
        </is>
      </c>
    </row>
    <row r="164" ht="23.25" customHeight="1" s="26">
      <c r="A164" s="2" t="inlineStr">
        <is>
          <t>AOFSA</t>
        </is>
      </c>
      <c r="B164" s="2" t="inlineStr">
        <is>
          <t>APSA story</t>
        </is>
      </c>
      <c r="C164" s="2" t="inlineStr">
        <is>
          <t>APSA — U.S., Kenyan and South African Pension Funds Commit Over $94m</t>
        </is>
      </c>
      <c r="D164" s="2" t="inlineStr">
        <is>
          <t>May 2026</t>
        </is>
      </c>
      <c r="E164" s="2" t="inlineStr">
        <is>
          <t>https://www.africapsa.org/news/u-s-kenyan-and-south-african-pension-funds-commit-over-94-million-to-african-private-equity-infrastructure/</t>
        </is>
      </c>
      <c r="F164" s="2" t="inlineStr">
        <is>
          <t>African Pension Supervisors Association coverage</t>
        </is>
      </c>
      <c r="G164" t="inlineStr">
        <is>
          <t>S163</t>
        </is>
      </c>
    </row>
    <row r="165" ht="23.25" customHeight="1" s="26">
      <c r="A165" s="2" t="inlineStr">
        <is>
          <t>AOFSA</t>
        </is>
      </c>
      <c r="B165" s="2" t="inlineStr">
        <is>
          <t>DFI document</t>
        </is>
      </c>
      <c r="C165" s="2" t="inlineStr">
        <is>
          <t>CrossBoundary — Investment Pipeline Building for the Asset Owners Forum of South Africa</t>
        </is>
      </c>
      <c r="D165" s="2" t="inlineStr">
        <is>
          <t>May 2026</t>
        </is>
      </c>
      <c r="E165" s="2" t="inlineStr">
        <is>
          <t>https://crossboundary.com/work/investment-pipeline-asset-owners-forum-south-africa/</t>
        </is>
      </c>
      <c r="F165" s="2" t="inlineStr">
        <is>
          <t>CrossBoundary advisory engagement with AOFSA</t>
        </is>
      </c>
      <c r="G165" t="inlineStr">
        <is>
          <t>S164</t>
        </is>
      </c>
    </row>
    <row r="166" ht="23.25" customHeight="1" s="26">
      <c r="A166" s="2" t="inlineStr">
        <is>
          <t>Mirepa Capital SME Fund I</t>
        </is>
      </c>
      <c r="B166" s="2" t="inlineStr">
        <is>
          <t>Press release</t>
        </is>
      </c>
      <c r="C166" s="2" t="inlineStr">
        <is>
          <t>Mirepa Investment Advisors — initial close of Mirepa Capital SME Fund I</t>
        </is>
      </c>
      <c r="D166" s="2" t="inlineStr">
        <is>
          <t>May 2026</t>
        </is>
      </c>
      <c r="E166" s="2" t="inlineStr">
        <is>
          <t>https://www.injaroinvestments.com/blog/injaro-ghana-venture-capital-fund-raises-ghs127m-at-first-close</t>
        </is>
      </c>
      <c r="F166" s="2" t="inlineStr">
        <is>
          <t>Mirepa initial close detail; LPs: Petra Trust, Axis Pensions, CAMCOL schemes, VCTF</t>
        </is>
      </c>
      <c r="G166" t="inlineStr">
        <is>
          <t>S165</t>
        </is>
      </c>
    </row>
    <row r="167" ht="23.25" customHeight="1" s="26">
      <c r="A167" s="2" t="inlineStr">
        <is>
          <t>Mirepa Capital SME Fund I</t>
        </is>
      </c>
      <c r="B167" s="2" t="inlineStr">
        <is>
          <t>Trade press</t>
        </is>
      </c>
      <c r="C167" s="2" t="inlineStr">
        <is>
          <t>Innovation Spark — Mirepa Capital SME Fund I initial close</t>
        </is>
      </c>
      <c r="D167" s="2" t="inlineStr">
        <is>
          <t>May 2026</t>
        </is>
      </c>
      <c r="E167" s="2" t="inlineStr">
        <is>
          <t>https://theinnovationspark.com/2023/11/03/mirepa-investment-advisors-reaches-intial-close-of-its-mirepa-capital-sme-fund-i/</t>
        </is>
      </c>
      <c r="F167" s="2" t="inlineStr">
        <is>
          <t>Mirepa LP composition</t>
        </is>
      </c>
      <c r="G167" t="inlineStr">
        <is>
          <t>S166</t>
        </is>
      </c>
    </row>
    <row r="168" ht="23.25" customHeight="1" s="26">
      <c r="A168" s="2" t="inlineStr">
        <is>
          <t>Mirepa Capital SME Fund I</t>
        </is>
      </c>
      <c r="B168" s="2" t="inlineStr">
        <is>
          <t>Trade press</t>
        </is>
      </c>
      <c r="C168" s="2" t="inlineStr">
        <is>
          <t>B&amp;FT — Mirepa Capital SME Fund I initial close</t>
        </is>
      </c>
      <c r="D168" s="2" t="inlineStr">
        <is>
          <t>May 2026</t>
        </is>
      </c>
      <c r="E168" s="2" t="inlineStr">
        <is>
          <t>https://thebftonline.com/2023/08/02/mirepa-investment-advisors-announces-initial-close-of-mirepa-capital-sme-fund-i-2/</t>
        </is>
      </c>
      <c r="F168" s="2" t="inlineStr">
        <is>
          <t>Ghanaian local-LP-only model</t>
        </is>
      </c>
      <c r="G168" t="inlineStr">
        <is>
          <t>S167</t>
        </is>
      </c>
    </row>
    <row r="169" ht="23.25" customHeight="1" s="26">
      <c r="A169" s="2" t="inlineStr">
        <is>
          <t>Mirepa Capital SME Fund I</t>
        </is>
      </c>
      <c r="B169" s="2" t="inlineStr">
        <is>
          <t>Trade press</t>
        </is>
      </c>
      <c r="C169" s="2" t="inlineStr">
        <is>
          <t>Afrikan Heroes — Ghana's VCTF leads USD 10.5m investment in Mirepa</t>
        </is>
      </c>
      <c r="D169" s="2" t="inlineStr">
        <is>
          <t>May 2026</t>
        </is>
      </c>
      <c r="E169" s="2" t="inlineStr">
        <is>
          <t>https://afrikanheroes.com/2023/08/05/ghanas-venture-capital-trust-fund-leads-10-5m-investment-in-mirepas-maiden-fund/</t>
        </is>
      </c>
      <c r="F169" s="2" t="inlineStr">
        <is>
          <t>VCTF lead role</t>
        </is>
      </c>
      <c r="G169" t="inlineStr">
        <is>
          <t>S168</t>
        </is>
      </c>
    </row>
    <row r="170" ht="23.25" customHeight="1" s="26">
      <c r="A170" s="2" t="inlineStr">
        <is>
          <t>Injaro IGVCF</t>
        </is>
      </c>
      <c r="B170" s="2" t="inlineStr">
        <is>
          <t>Press release</t>
        </is>
      </c>
      <c r="C170" s="2" t="inlineStr">
        <is>
          <t>Injaro Investments — IGVCF first close GHS 127m</t>
        </is>
      </c>
      <c r="D170" s="2" t="inlineStr">
        <is>
          <t>May 2026</t>
        </is>
      </c>
      <c r="E170" s="2" t="inlineStr">
        <is>
          <t>https://www.injaroinvestments.com/blog/injaro-ghana-venture-capital-fund-raises-ghs127m-at-first-close</t>
        </is>
      </c>
      <c r="F170" s="2" t="inlineStr">
        <is>
          <t>Injaro Ghana VC Fund first close</t>
        </is>
      </c>
      <c r="G170" t="inlineStr">
        <is>
          <t>S169</t>
        </is>
      </c>
    </row>
    <row r="171" ht="23.25" customHeight="1" s="26">
      <c r="A171" s="2" t="inlineStr">
        <is>
          <t>Injaro IGVCF</t>
        </is>
      </c>
      <c r="B171" s="2" t="inlineStr">
        <is>
          <t>Trade press</t>
        </is>
      </c>
      <c r="C171" s="2" t="inlineStr">
        <is>
          <t>Africa Private Equity News — Injaro announces final close (Dec 2023)</t>
        </is>
      </c>
      <c r="D171" s="2" t="inlineStr">
        <is>
          <t>May 2026</t>
        </is>
      </c>
      <c r="E171" s="2" t="inlineStr">
        <is>
          <t>https://www.africaprivateequitynews.com/p/ghana-injaro-announces-final-close</t>
        </is>
      </c>
      <c r="F171" s="2" t="inlineStr">
        <is>
          <t>IGVCF GHS 216m final close, first Ghana fund anchored by local pensions</t>
        </is>
      </c>
      <c r="G171" t="inlineStr">
        <is>
          <t>S170</t>
        </is>
      </c>
    </row>
    <row r="172" ht="15" customHeight="1" s="26">
      <c r="A172" s="2" t="inlineStr">
        <is>
          <t>Injaro IGVCF</t>
        </is>
      </c>
      <c r="B172" s="2" t="inlineStr">
        <is>
          <t>GP website</t>
        </is>
      </c>
      <c r="C172" s="2" t="inlineStr">
        <is>
          <t>Injaro Investments — IGVCF Fund page</t>
        </is>
      </c>
      <c r="D172" s="2" t="inlineStr">
        <is>
          <t>May 2026</t>
        </is>
      </c>
      <c r="E172" s="2" t="inlineStr">
        <is>
          <t>https://www.injaroinvestments.com/fund/igvcf</t>
        </is>
      </c>
      <c r="F172" s="2" t="inlineStr">
        <is>
          <t>IGVCF profile</t>
        </is>
      </c>
      <c r="G172" t="inlineStr">
        <is>
          <t>S171</t>
        </is>
      </c>
    </row>
    <row r="173" ht="23.25" customHeight="1" s="26">
      <c r="A173" s="2" t="inlineStr">
        <is>
          <t>Injaro IGVCF</t>
        </is>
      </c>
      <c r="B173" s="2" t="inlineStr">
        <is>
          <t>Trade press</t>
        </is>
      </c>
      <c r="C173" s="2" t="inlineStr">
        <is>
          <t>AVCA — Injaro announces final close of Ghana Venture Capital Fund</t>
        </is>
      </c>
      <c r="D173" s="2" t="inlineStr">
        <is>
          <t>May 2026</t>
        </is>
      </c>
      <c r="E173" s="2" t="inlineStr">
        <is>
          <t>https://www.avca.africa/news-insights/member-news/injaro-announces-final-close-of-ghana-venture-capital-fund/</t>
        </is>
      </c>
      <c r="F173" s="2" t="inlineStr">
        <is>
          <t>AVCA coverage of IGVCF close</t>
        </is>
      </c>
      <c r="G173" t="inlineStr">
        <is>
          <t>S172</t>
        </is>
      </c>
    </row>
    <row r="174" ht="23.25" customHeight="1" s="26">
      <c r="A174" s="2" t="inlineStr">
        <is>
          <t>NSSF Uganda FoF</t>
        </is>
      </c>
      <c r="B174" s="2" t="inlineStr">
        <is>
          <t>Trade press</t>
        </is>
      </c>
      <c r="C174" s="2" t="inlineStr">
        <is>
          <t>ImpactAlpha — Pension fund in Uganda readies a $100m fund of funds (Apr 2026)</t>
        </is>
      </c>
      <c r="D174" s="2" t="inlineStr">
        <is>
          <t>May 2026</t>
        </is>
      </c>
      <c r="E174" s="2" t="inlineStr">
        <is>
          <t>https://impactalpha.com/pension-fund-in-uganda-readies-a-100-million-fund-of-funds-to-create-jobs-and-savers/</t>
        </is>
      </c>
      <c r="F174" s="2" t="inlineStr">
        <is>
          <t>NSSF Uganda planned FoF: USD 15m+ anchor, USD 100m target, before March 2026 launch</t>
        </is>
      </c>
      <c r="G174" t="inlineStr">
        <is>
          <t>S173</t>
        </is>
      </c>
    </row>
    <row r="175" ht="23.25" customHeight="1" s="26">
      <c r="A175" s="2" t="inlineStr">
        <is>
          <t>Enko Capital</t>
        </is>
      </c>
      <c r="B175" s="2" t="inlineStr">
        <is>
          <t>GP website</t>
        </is>
      </c>
      <c r="C175" s="2" t="inlineStr">
        <is>
          <t>Enko Capital — Africa-focused alternative asset manager (USD 1.6bn AUM)</t>
        </is>
      </c>
      <c r="D175" s="2" t="inlineStr">
        <is>
          <t>May 2026</t>
        </is>
      </c>
      <c r="E175" s="2" t="inlineStr">
        <is>
          <t>https://www.fsdafrica.org/</t>
        </is>
      </c>
      <c r="F175" s="2" t="inlineStr">
        <is>
          <t>Enko Capital profile context (linked via FSDA press release)</t>
        </is>
      </c>
      <c r="G175" t="inlineStr">
        <is>
          <t>S174</t>
        </is>
      </c>
    </row>
    <row r="176" ht="23.25" customHeight="1" s="26">
      <c r="A176" s="2" t="inlineStr">
        <is>
          <t>MiDA Advisors USAID</t>
        </is>
      </c>
      <c r="B176" s="2" t="inlineStr">
        <is>
          <t>DFI document</t>
        </is>
      </c>
      <c r="C176" s="2" t="inlineStr">
        <is>
          <t>USAID INVEST / Medium — How Africa's Pension Funds are Financing Infrastructure</t>
        </is>
      </c>
      <c r="D176" s="2" t="inlineStr">
        <is>
          <t>May 2026</t>
        </is>
      </c>
      <c r="E176" s="2" t="inlineStr">
        <is>
          <t>https://medium.com/usaid-invest/how-africas-pension-funds-are-financing-the-continent-s-infrastructure-gap-2bcd9aa39069</t>
        </is>
      </c>
      <c r="F176" s="2" t="inlineStr">
        <is>
          <t>USAID INVEST framing of KEPFIC + AOFSA</t>
        </is>
      </c>
      <c r="G176" t="inlineStr">
        <is>
          <t>S175</t>
        </is>
      </c>
    </row>
    <row r="177" ht="23.25" customHeight="1" s="26">
      <c r="A177" s="2" t="inlineStr">
        <is>
          <t>MiDA Advisors USAID</t>
        </is>
      </c>
      <c r="B177" s="2" t="inlineStr">
        <is>
          <t>DFI document</t>
        </is>
      </c>
      <c r="C177" s="2" t="inlineStr">
        <is>
          <t>USAID INVEST — Mobilizing Kenyan Pension Funds to Invest in Local Infrastructure</t>
        </is>
      </c>
      <c r="D177" s="2" t="inlineStr">
        <is>
          <t>May 2026</t>
        </is>
      </c>
      <c r="E177" s="2" t="inlineStr">
        <is>
          <t>https://medium.com/usaid-invest/mobilizing-kenyan-pension-funds-to-invest-in-local-infrastructure-3c9d2db63fb2</t>
        </is>
      </c>
      <c r="F177" s="2" t="inlineStr">
        <is>
          <t>KEPFIC formation detail</t>
        </is>
      </c>
      <c r="G177" t="inlineStr">
        <is>
          <t>S176</t>
        </is>
      </c>
    </row>
    <row r="178" ht="23.25" customHeight="1" s="26">
      <c r="A178" s="2" t="inlineStr">
        <is>
          <t>Kenya NIF + SWF</t>
        </is>
      </c>
      <c r="B178" s="2" t="inlineStr">
        <is>
          <t>Trade press</t>
        </is>
      </c>
      <c r="C178" s="2" t="inlineStr">
        <is>
          <t>African Capital Markets News — Kenya's new infrastructure and SWF funds to be funded by share sales</t>
        </is>
      </c>
      <c r="D178" s="2" t="inlineStr">
        <is>
          <t>May 2026</t>
        </is>
      </c>
      <c r="E178" s="2" t="inlineStr">
        <is>
          <t>https://africancapitalmarketsnews.com/kenyas-new-infrastructure-and-sovereign-wealth-funds-to-be-funded-by-share-sales/</t>
        </is>
      </c>
      <c r="F178" s="2" t="inlineStr">
        <is>
          <t>Kenya Cabinet-approved National Infrastructure Fund + SWF; KPC IPO planned March 2026</t>
        </is>
      </c>
      <c r="G178" t="inlineStr">
        <is>
          <t>S177</t>
        </is>
      </c>
    </row>
    <row r="179">
      <c r="A179" t="inlineStr">
        <is>
          <t>GEPF / PIC</t>
        </is>
      </c>
      <c r="B179" t="inlineStr">
        <is>
          <t>DFI / fund announcement</t>
        </is>
      </c>
      <c r="C179" t="inlineStr">
        <is>
          <t>DGGF - Zebu Africa Food Security Fund reaches total fund size of USD 84 million</t>
        </is>
      </c>
      <c r="D179" t="inlineStr">
        <is>
          <t>May 2026</t>
        </is>
      </c>
      <c r="E179" t="inlineStr">
        <is>
          <t>https://english.dggf.nl/latest/news/2019/01/24/zebu-s-africa-food-security-fund-a-dggf-investee-reaches-total-fund-size-of-usd-84-million</t>
        </is>
      </c>
      <c r="F179" t="inlineStr">
        <is>
          <t>PIC/GEPF LP confirmation in Africa Food Security Fund; co-investors AfDB, CDC/BII, DGGF, IFU, EBID and Kuramo</t>
        </is>
      </c>
      <c r="G179" t="inlineStr">
        <is>
          <t>S178</t>
        </is>
      </c>
    </row>
    <row r="180">
      <c r="A180" t="inlineStr">
        <is>
          <t>Ithmar Capital</t>
        </is>
      </c>
      <c r="B180" t="inlineStr">
        <is>
          <t>SWF portfolio page</t>
        </is>
      </c>
      <c r="C180" t="inlineStr">
        <is>
          <t>Ithmar Capital - Our portfolio: Wessal</t>
        </is>
      </c>
      <c r="D180" t="inlineStr">
        <is>
          <t>May 2026</t>
        </is>
      </c>
      <c r="E180" t="inlineStr">
        <is>
          <t>https://www.ithmar.gov.ma/en/our-portfolio/</t>
        </is>
      </c>
      <c r="F180" t="inlineStr">
        <is>
          <t>Wessal as SWF joint investment vehicle; EUR 2.5bn equity commitment; projects Wessal Bouregreg and Wessal Casa-Port</t>
        </is>
      </c>
      <c r="G180" t="inlineStr">
        <is>
          <t>S179</t>
        </is>
      </c>
    </row>
    <row r="181">
      <c r="A181" t="inlineStr">
        <is>
          <t>NSIA</t>
        </is>
      </c>
      <c r="B181" t="inlineStr">
        <is>
          <t>Press release / sustainability article</t>
        </is>
      </c>
      <c r="C181" t="inlineStr">
        <is>
          <t>The NSIA Model: Catalyzing Development Through Sustainable Investments</t>
        </is>
      </c>
      <c r="D181" t="inlineStr">
        <is>
          <t>May 2026</t>
        </is>
      </c>
      <c r="E181" t="inlineStr">
        <is>
          <t>https://nsia.com.ng/the-nsia-model-catalyzing-development-through-sustainable-investments/</t>
        </is>
      </c>
      <c r="F181" t="inlineStr">
        <is>
          <t>NSIA investments in Alitheia IDF, Ingressive Capital and Verod Capital; MedServe impact reference</t>
        </is>
      </c>
      <c r="G181" t="inlineStr">
        <is>
          <t>S180</t>
        </is>
      </c>
    </row>
    <row r="182">
      <c r="A182" t="inlineStr">
        <is>
          <t>NSIA</t>
        </is>
      </c>
      <c r="B182" t="inlineStr">
        <is>
          <t>Impact report</t>
        </is>
      </c>
      <c r="C182" t="inlineStr">
        <is>
          <t>NSIA Development Impact Report 2021</t>
        </is>
      </c>
      <c r="D182" t="inlineStr">
        <is>
          <t>May 2026</t>
        </is>
      </c>
      <c r="E182" t="inlineStr">
        <is>
          <t>https://nsia.com.ng/download/56/2021-report/10080/nsia-development-impact-report-2021_.pdf</t>
        </is>
      </c>
      <c r="F182" t="inlineStr">
        <is>
          <t>Verod Growth Fund II USD 5m commitment and Verod Growth Fund III USD 7.5m commitment</t>
        </is>
      </c>
      <c r="G182" t="inlineStr">
        <is>
          <t>S181</t>
        </is>
      </c>
    </row>
    <row r="183">
      <c r="A183" t="inlineStr">
        <is>
          <t>IFC / NSIA</t>
        </is>
      </c>
      <c r="B183" t="inlineStr">
        <is>
          <t>Press release</t>
        </is>
      </c>
      <c r="C183" t="inlineStr">
        <is>
          <t>IFC and NSIA to Scale Oncology and Diagnostic Services for Underserved Communities in Nigeria</t>
        </is>
      </c>
      <c r="D183" t="inlineStr">
        <is>
          <t>May 2026</t>
        </is>
      </c>
      <c r="E183" t="inlineStr">
        <is>
          <t>https://www.ifc.org/en/pressroom/2026/ifc-and-nsia-to-scale-oncology-and-diagnostic-services-for-underserved-communities</t>
        </is>
      </c>
      <c r="F183" t="inlineStr">
        <is>
          <t>MedServe expansion project size USD 154.1m; IFC USD 24.5m local-currency financing</t>
        </is>
      </c>
      <c r="G183" t="inlineStr">
        <is>
          <t>S182</t>
        </is>
      </c>
    </row>
    <row r="184">
      <c r="A184" t="inlineStr">
        <is>
          <t>Alitheia IDF</t>
        </is>
      </c>
      <c r="B184" t="inlineStr">
        <is>
          <t>Investor profile</t>
        </is>
      </c>
      <c r="C184" t="inlineStr">
        <is>
          <t>Soros Economic Development Fund - Alitheia IDF Fund LP</t>
        </is>
      </c>
      <c r="D184" t="inlineStr">
        <is>
          <t>May 2026</t>
        </is>
      </c>
      <c r="E184" t="inlineStr">
        <is>
          <t>https://www.soroseconomicdevelopmentfund.org/investments/alitheia-idf-fund-lp</t>
        </is>
      </c>
      <c r="F184" t="inlineStr">
        <is>
          <t>Alitheia IDF as USD 100m gender-lens fund and SEDF co-investor</t>
        </is>
      </c>
      <c r="G184" t="inlineStr">
        <is>
          <t>S183</t>
        </is>
      </c>
    </row>
    <row r="185">
      <c r="A185" t="inlineStr">
        <is>
          <t>Ingressive Capital</t>
        </is>
      </c>
      <c r="B185" t="inlineStr">
        <is>
          <t>Manager profile</t>
        </is>
      </c>
      <c r="C185" t="inlineStr">
        <is>
          <t>Ingressive Capital - About Us</t>
        </is>
      </c>
      <c r="D185" t="inlineStr">
        <is>
          <t>May 2026</t>
        </is>
      </c>
      <c r="E185" t="inlineStr">
        <is>
          <t>https://ingressivecapital.com/about-us/</t>
        </is>
      </c>
      <c r="F185" t="inlineStr">
        <is>
          <t>Ingressive Capital strategy and geographic focus</t>
        </is>
      </c>
      <c r="G185" t="inlineStr">
        <is>
          <t>S184</t>
        </is>
      </c>
    </row>
    <row r="186">
      <c r="A186" t="inlineStr">
        <is>
          <t>Verod Capital</t>
        </is>
      </c>
      <c r="B186" t="inlineStr">
        <is>
          <t>Manager profile</t>
        </is>
      </c>
      <c r="C186" t="inlineStr">
        <is>
          <t>Verod Capital - Home</t>
        </is>
      </c>
      <c r="D186" t="inlineStr">
        <is>
          <t>May 2026</t>
        </is>
      </c>
      <c r="E186" t="inlineStr">
        <is>
          <t>https://www.verod.com/</t>
        </is>
      </c>
      <c r="F186" t="inlineStr">
        <is>
          <t>Verod Growth fund manager profile and AUM context</t>
        </is>
      </c>
      <c r="G186" t="inlineStr">
        <is>
          <t>S185</t>
        </is>
      </c>
    </row>
    <row r="187">
      <c r="A187" t="inlineStr">
        <is>
          <t>InfraCredit</t>
        </is>
      </c>
      <c r="B187" t="inlineStr">
        <is>
          <t>Case study</t>
        </is>
      </c>
      <c r="C187" t="inlineStr">
        <is>
          <t>Harvard Business School - InfraCredit and the Project Inception Facility</t>
        </is>
      </c>
      <c r="D187" t="inlineStr">
        <is>
          <t>May 2026</t>
        </is>
      </c>
      <c r="E187" t="inlineStr">
        <is>
          <t>https://www.hbs.edu/faculty/Pages/item.aspx?num=66419</t>
        </is>
      </c>
      <c r="F187" t="inlineStr">
        <is>
          <t>InfraCredit business model and project-inception funding context</t>
        </is>
      </c>
      <c r="G187" t="inlineStr">
        <is>
          <t>S186</t>
        </is>
      </c>
    </row>
    <row r="188">
      <c r="A188" t="inlineStr">
        <is>
          <t>InfraCredit</t>
        </is>
      </c>
      <c r="B188" t="inlineStr">
        <is>
          <t>NSIA portfolio page</t>
        </is>
      </c>
      <c r="C188" t="inlineStr">
        <is>
          <t>NSIA Portfolio - InfraCredit</t>
        </is>
      </c>
      <c r="D188" t="inlineStr">
        <is>
          <t>May 2026</t>
        </is>
      </c>
      <c r="E188" t="inlineStr">
        <is>
          <t>https://nsia.com.ng/portfolio/infracredit/</t>
        </is>
      </c>
      <c r="F188" t="inlineStr">
        <is>
          <t>InfraCredit as NSIA/GuarantCo participant vehicle catalysing pension and insurance investment</t>
        </is>
      </c>
      <c r="G188" t="inlineStr">
        <is>
          <t>S187</t>
        </is>
      </c>
    </row>
    <row r="189">
      <c r="A189" t="inlineStr">
        <is>
          <t>InfraCredit / NSIA</t>
        </is>
      </c>
      <c r="B189" t="inlineStr">
        <is>
          <t>Press release</t>
        </is>
      </c>
      <c r="C189" t="inlineStr">
        <is>
          <t>NSIA invests NGN10bn into Construction Finance Warehouse Facility with InfraCredit</t>
        </is>
      </c>
      <c r="D189" t="inlineStr">
        <is>
          <t>May 2026</t>
        </is>
      </c>
      <c r="E189" t="inlineStr">
        <is>
          <t>https://infracredit.ng/nsia-invests-ngn10-billion-into-an-innovative-construction-finance-warehouse-facility-in-collaboration-with-infracredit-to-support-bankable-greenfield-infrastructure-project-finance-in-nigeria/</t>
        </is>
      </c>
      <c r="F189" t="inlineStr">
        <is>
          <t>NSIA NGN10bn anchor investment; CFWF target NGN100bn capacity; InfraCredit capitalization USD237m+</t>
        </is>
      </c>
      <c r="G189" t="inlineStr">
        <is>
          <t>S188</t>
        </is>
      </c>
    </row>
    <row r="190">
      <c r="A190" t="inlineStr">
        <is>
          <t>InfraCredit</t>
        </is>
      </c>
      <c r="B190" t="inlineStr">
        <is>
          <t>Press release</t>
        </is>
      </c>
      <c r="C190" t="inlineStr">
        <is>
          <t>KfW Development Bank invests EUR31m subordinated capital in InfraCredit</t>
        </is>
      </c>
      <c r="D190" t="inlineStr">
        <is>
          <t>May 2026</t>
        </is>
      </c>
      <c r="E190" t="inlineStr">
        <is>
          <t>https://infracredit.ng/kfw-development-bank-invests-e31-million-surbordinated-capital-in-infracredit/</t>
        </is>
      </c>
      <c r="F190" t="inlineStr">
        <is>
          <t>KfW subordinated capital and InfraCredit establishment by NSIA with GuarantCo/PIDG</t>
        </is>
      </c>
      <c r="G190" t="inlineStr">
        <is>
          <t>S189</t>
        </is>
      </c>
    </row>
    <row r="191">
      <c r="A191" t="inlineStr">
        <is>
          <t>InfraCredit</t>
        </is>
      </c>
      <c r="B191" t="inlineStr">
        <is>
          <t>OECD case study</t>
        </is>
      </c>
      <c r="C191" t="inlineStr">
        <is>
          <t>InfraCredit: Making infrastructure projects in Nigeria more bankable through credit enhancement</t>
        </is>
      </c>
      <c r="D191" t="inlineStr">
        <is>
          <t>May 2026</t>
        </is>
      </c>
      <c r="E191" t="inlineStr">
        <is>
          <t>https://www.oecd.org/en/publications/blended-finance-case-studies_2fb90b9a-en/infracredit-making-infrastructure-projects-in-nigeria-more-bankable-through-credit-enhancement_bdb679c6-en.html</t>
        </is>
      </c>
      <c r="F191" t="inlineStr">
        <is>
          <t>PIDG/NSIA establishment, GuarantCo initial contingent capital, InfraCo Africa and domestic institutional mobilization</t>
        </is>
      </c>
      <c r="G191" t="inlineStr">
        <is>
          <t>S190</t>
        </is>
      </c>
    </row>
    <row r="192">
      <c r="A192" t="inlineStr">
        <is>
          <t>NSIA</t>
        </is>
      </c>
      <c r="B192" t="inlineStr">
        <is>
          <t>Financial statements</t>
        </is>
      </c>
      <c r="C192" t="inlineStr">
        <is>
          <t>NSIA 2025 Group Financial Statements - InfraCredit ownership</t>
        </is>
      </c>
      <c r="D192" t="inlineStr">
        <is>
          <t>May 2026</t>
        </is>
      </c>
      <c r="E192" t="inlineStr">
        <is>
          <t>https://nsia.com.ng/download/267/2025-report/15287/nsia-2025-group-financial-statements-usd.pdf</t>
        </is>
      </c>
      <c r="F192" t="inlineStr">
        <is>
          <t>NSIA retained InfraCredit ownership interest; Access ARM Pensions, CardinalStone, AFC and insurers as shareholders</t>
        </is>
      </c>
      <c r="G192" t="inlineStr">
        <is>
          <t>S191</t>
        </is>
      </c>
    </row>
    <row r="193">
      <c r="A193" t="inlineStr">
        <is>
          <t>VCTF Ghana / Oasis Capital</t>
        </is>
      </c>
      <c r="B193" t="inlineStr">
        <is>
          <t>Media / impact report coverage</t>
        </is>
      </c>
      <c r="C193" t="inlineStr">
        <is>
          <t>Graphic Online - Venture Capital Fund invests over GHc359m in local businesses</t>
        </is>
      </c>
      <c r="D193" t="inlineStr">
        <is>
          <t>May 2026</t>
        </is>
      </c>
      <c r="E193" t="inlineStr">
        <is>
          <t>https://www.graphic.com.gh/news/general-news/ghana-news-venture-capital-fund-invests-over-ghc359m-in-local-businesses.html</t>
        </is>
      </c>
      <c r="F193" t="inlineStr">
        <is>
          <t>VCTF impact report coverage; GHc359.6m invested, GHc2bn leveraged; Oasis Capital and Injaro Ghana Venture Fund identified as anchored/impactful funds</t>
        </is>
      </c>
      <c r="G193" t="inlineStr">
        <is>
          <t>S192</t>
        </is>
      </c>
    </row>
    <row r="194">
      <c r="A194" t="inlineStr">
        <is>
          <t>Oasis Africa VC Fund</t>
        </is>
      </c>
      <c r="B194" t="inlineStr">
        <is>
          <t>DFI research report</t>
        </is>
      </c>
      <c r="C194" t="inlineStr">
        <is>
          <t>DGGF - Getting SME Risk Capital Funds to First Close</t>
        </is>
      </c>
      <c r="D194" t="inlineStr">
        <is>
          <t>May 2026</t>
        </is>
      </c>
      <c r="E194" t="inlineStr">
        <is>
          <t>https://english.dggf.nl/site/binaries/site-content/collections/documents/2025/11/17/getting-sme-risk-capital-funds-to-first-close/dggf-knowledge-product-getting-sme-risk-capital-funds-to-first-close.pdf</t>
        </is>
      </c>
      <c r="F194" t="inlineStr">
        <is>
          <t>Oasis Africa VC Fund Ghana domicile, VCTF government co-investment rationale, DGGF legal TA and subsequent DFI crowd-in</t>
        </is>
      </c>
      <c r="G194" t="inlineStr">
        <is>
          <t>S193</t>
        </is>
      </c>
    </row>
    <row r="195">
      <c r="A195" t="inlineStr">
        <is>
          <t>Oasis Africa VC Fund</t>
        </is>
      </c>
      <c r="B195" t="inlineStr">
        <is>
          <t>DFI announcement</t>
        </is>
      </c>
      <c r="C195" t="inlineStr">
        <is>
          <t>DGGF - Oasis Capital Ghana first close Oasis Africa VC Fund USD 27 million</t>
        </is>
      </c>
      <c r="D195" t="inlineStr">
        <is>
          <t>May 2026</t>
        </is>
      </c>
      <c r="E195" t="inlineStr">
        <is>
          <t>https://english.dggf.nl/latest/news/2018/5/31/oasis-capital-ghana-first-close-oasis-africa-vc-fund-usd-27-million</t>
        </is>
      </c>
      <c r="F195" t="inlineStr">
        <is>
          <t>OAF first close amount and DGGF role</t>
        </is>
      </c>
      <c r="G195" t="inlineStr">
        <is>
          <t>S194</t>
        </is>
      </c>
    </row>
    <row r="196">
      <c r="A196" t="inlineStr">
        <is>
          <t>Oasis Africa VC Fund</t>
        </is>
      </c>
      <c r="B196" t="inlineStr">
        <is>
          <t>GP announcement</t>
        </is>
      </c>
      <c r="C196" t="inlineStr">
        <is>
          <t>Oasis Capital Ghana - Oasis Africa VC Fund first close</t>
        </is>
      </c>
      <c r="D196" t="inlineStr">
        <is>
          <t>May 2026</t>
        </is>
      </c>
      <c r="E196" t="inlineStr">
        <is>
          <t>https://oasiscapitalghana.com/v2/oasis-capital-ghana-has-completed-the-first-close-of-its-second-fund-oasis-africa-vc-fund-oaf/</t>
        </is>
      </c>
      <c r="F196" t="inlineStr">
        <is>
          <t>OAF first close: USD 27m, DGGF USD 5m, IFC USD 7m and local investor base over USD 15m</t>
        </is>
      </c>
      <c r="G196" t="inlineStr">
        <is>
          <t>S195</t>
        </is>
      </c>
    </row>
    <row r="197">
      <c r="A197" t="inlineStr">
        <is>
          <t>Oasis Africa VC Fund</t>
        </is>
      </c>
      <c r="B197" t="inlineStr">
        <is>
          <t>DFI fund profile</t>
        </is>
      </c>
      <c r="C197" t="inlineStr">
        <is>
          <t>EIB - Oasis Africa SME Fund</t>
        </is>
      </c>
      <c r="D197" t="inlineStr">
        <is>
          <t>May 2026</t>
        </is>
      </c>
      <c r="E197" t="inlineStr">
        <is>
          <t>https://www.eib.org/en/products/equity/funds/oasis-africa-sme-fund</t>
        </is>
      </c>
      <c r="F197" t="inlineStr">
        <is>
          <t>Oasis Africa VC Fund final fund size USD 50.5m and EIB USD 8m commitment</t>
        </is>
      </c>
      <c r="G197" t="inlineStr">
        <is>
          <t>S196</t>
        </is>
      </c>
    </row>
    <row r="198">
      <c r="A198" t="inlineStr">
        <is>
          <t>VCTF Ghana / Oasis Capital</t>
        </is>
      </c>
      <c r="B198" t="inlineStr">
        <is>
          <t>Allocator annual report</t>
        </is>
      </c>
      <c r="C198" t="inlineStr">
        <is>
          <t>Venture Capital Trust Fund - Annual Report 2015</t>
        </is>
      </c>
      <c r="D198" t="inlineStr">
        <is>
          <t>May 2026</t>
        </is>
      </c>
      <c r="E198" t="inlineStr">
        <is>
          <t>https://vctf.com.gh/wp-content/uploads/2022/09/Venture-Capital-Annual-report-2015.pdf</t>
        </is>
      </c>
      <c r="F198" t="inlineStr">
        <is>
          <t>VCTF USD 2m commitment to Oasis Africa Fund Limited and Ebankese Venture Fund portfolio context</t>
        </is>
      </c>
      <c r="G198" t="inlineStr">
        <is>
          <t>S197</t>
        </is>
      </c>
    </row>
    <row r="199">
      <c r="A199" t="inlineStr">
        <is>
          <t>VCTF Ghana</t>
        </is>
      </c>
      <c r="B199" t="inlineStr">
        <is>
          <t>Allocator profile</t>
        </is>
      </c>
      <c r="C199" t="inlineStr">
        <is>
          <t>Venture Capital Trust Fund - About Us</t>
        </is>
      </c>
      <c r="D199" t="inlineStr">
        <is>
          <t>May 2026</t>
        </is>
      </c>
      <c r="E199" t="inlineStr">
        <is>
          <t>https://vctf.com.gh/about-us/</t>
        </is>
      </c>
      <c r="F199" t="inlineStr">
        <is>
          <t>VCTF mandate as government-backed venture capital fund of funds focused on SME venture funds</t>
        </is>
      </c>
      <c r="G199" t="inlineStr">
        <is>
          <t>S198</t>
        </is>
      </c>
    </row>
    <row r="200">
      <c r="A200" t="inlineStr">
        <is>
          <t>RSSB Rwanda</t>
        </is>
      </c>
      <c r="B200" t="inlineStr">
        <is>
          <t>Fund launch / press release</t>
        </is>
      </c>
      <c r="C200" t="inlineStr">
        <is>
          <t>Kigali International Financial Centre establishes a $250M pan-African Virunga Africa Fund I</t>
        </is>
      </c>
      <c r="D200" t="inlineStr">
        <is>
          <t>June 2026</t>
        </is>
      </c>
      <c r="E200" t="inlineStr">
        <is>
          <t>https://www.rssb.rw/fileadmin/user_upload/Kigali_International_Financial_Centre.pdf</t>
        </is>
      </c>
      <c r="F200" t="inlineStr">
        <is>
          <t>Virunga Africa Fund I launch; QIA and RSSB named as anchor/cornerstone investors; Admaius manager; USD 250m fund size and pan-African sector focus</t>
        </is>
      </c>
      <c r="G200" t="inlineStr">
        <is>
          <t>S199</t>
        </is>
      </c>
    </row>
    <row r="201">
      <c r="A201" t="inlineStr">
        <is>
          <t>RSSB Rwanda / Admaius Capital Partners</t>
        </is>
      </c>
      <c r="B201" t="inlineStr">
        <is>
          <t>Trade press</t>
        </is>
      </c>
      <c r="C201" t="inlineStr">
        <is>
          <t>AllAfrica — World Bank's IFC to Back Admaius' $500M Virunga Africa Fund II (3 June 2026)</t>
        </is>
      </c>
      <c r="D201" t="inlineStr">
        <is>
          <t>June 2026</t>
        </is>
      </c>
      <c r="E201" t="inlineStr">
        <is>
          <t>https://allafrica.com/stories/202606030282.html</t>
        </is>
      </c>
      <c r="F201" t="inlineStr">
        <is>
          <t>Virunga Africa Fund II pipeline/watchlist evidence; IFC proposed USD 25m + USD 10m co-invest; fund target USD 500m; predecessor Fund I was RSSB/QIA-anchored, but no confirmed RSSB Fund II commitment as of 5 June 2026.</t>
        </is>
      </c>
      <c r="G201" t="inlineStr">
        <is>
          <t>S200</t>
        </is>
      </c>
    </row>
    <row r="202">
      <c r="A202" t="inlineStr">
        <is>
          <t>RSSB Rwanda / Admaius Capital Partners</t>
        </is>
      </c>
      <c r="B202" t="inlineStr">
        <is>
          <t>Trade press</t>
        </is>
      </c>
      <c r="C202" t="inlineStr">
        <is>
          <t>TechInAfrica — Admaius Capital Partners Launches $500M Virunga Africa Fund II (May 2026)</t>
        </is>
      </c>
      <c r="D202" t="inlineStr">
        <is>
          <t>June 2026</t>
        </is>
      </c>
      <c r="E202" t="inlineStr">
        <is>
          <t>https://www.techinafrica.com/admaius-capital-partners-launches-500m-virunga-africa-fund-ii/</t>
        </is>
      </c>
      <c r="F202" t="inlineStr">
        <is>
          <t>Virunga Africa Fund II pipeline/watchlist details; target size, focus markets, sectors, and proposed IFC investment; not confirmation of RSSB commitment.</t>
        </is>
      </c>
      <c r="G202" t="inlineStr">
        <is>
          <t>S201</t>
        </is>
      </c>
    </row>
    <row r="203">
      <c r="A203" t="inlineStr">
        <is>
          <t>RSSB Rwanda / Admaius Capital Partners</t>
        </is>
      </c>
      <c r="B203" t="inlineStr">
        <is>
          <t>Trade press</t>
        </is>
      </c>
      <c r="C203" t="inlineStr">
        <is>
          <t>Africa Private Equity News — IFC discloses proposed USD 25m investment in Admaius' Virunga Africa Fund II (May 2026)</t>
        </is>
      </c>
      <c r="D203" t="inlineStr">
        <is>
          <t>June 2026</t>
        </is>
      </c>
      <c r="E203" t="inlineStr">
        <is>
          <t>https://www.africaprivateequitynews.com/p/ifc-discloses-proposed-25m-investment</t>
        </is>
      </c>
      <c r="F203" t="inlineStr">
        <is>
          <t>IFC proposed USD 25m + USD 10m co-invest in Fund II; predecessor Fund I closed USD 280m in 2022</t>
        </is>
      </c>
      <c r="G203" t="inlineStr">
        <is>
          <t>S202</t>
        </is>
      </c>
    </row>
    <row r="204">
      <c r="A204" t="inlineStr">
        <is>
          <t>SSNIT Ghana / Multiple GPs</t>
        </is>
      </c>
      <c r="B204" t="inlineStr">
        <is>
          <t>Academic/DFI study</t>
        </is>
      </c>
      <c r="C204" t="inlineStr">
        <is>
          <t>World Bank -- Ghana Private Equity and Venture Capital Ecosystem Study (June 2016)</t>
        </is>
      </c>
      <c r="D204" t="inlineStr">
        <is>
          <t>June 2026</t>
        </is>
      </c>
      <c r="E204" t="inlineStr">
        <is>
          <t>https://openknowledge.worldbank.org/server/api/core/bitstreams/d98e4fd6-3bf4-5258-b0a4-7f44b9a594b1/content</t>
        </is>
      </c>
      <c r="F204" t="inlineStr">
        <is>
          <t>Names SSNIT as LP in four PE funds: Fidelity Equity Fund II, ECP Africa Fund III, PAIDF, CIFA (USD 5.04m, June 2005)</t>
        </is>
      </c>
      <c r="G204" t="inlineStr">
        <is>
          <t>S203</t>
        </is>
      </c>
    </row>
    <row r="205">
      <c r="A205" t="inlineStr">
        <is>
          <t>SSNIT Ghana / Actis / Cordiant</t>
        </is>
      </c>
      <c r="B205" t="inlineStr">
        <is>
          <t>Government project database</t>
        </is>
      </c>
      <c r="C205" t="inlineStr">
        <is>
          <t>Canada.ca Project Browser -- Canada Investment Fund for Africa (CIFA)</t>
        </is>
      </c>
      <c r="D205" t="inlineStr">
        <is>
          <t>June 2026</t>
        </is>
      </c>
      <c r="E205" t="inlineStr">
        <is>
          <t>https://w05.international.gc.ca/projectbrowser-banqueprojets/project-projet/details/a032944001</t>
        </is>
      </c>
      <c r="F205" t="inlineStr">
        <is>
          <t>CIFA fund details; USD 212m fund; Government of Canada anchor; SSNIT confirmed LP with USD 5.04m June 2005 commitment</t>
        </is>
      </c>
      <c r="G205" t="inlineStr">
        <is>
          <t>S204</t>
        </is>
      </c>
    </row>
    <row r="206">
      <c r="A206" t="inlineStr">
        <is>
          <t>SSNIT Ghana / Fidelity Capital Partners</t>
        </is>
      </c>
      <c r="B206" t="inlineStr">
        <is>
          <t>DFI portfolio listing</t>
        </is>
      </c>
      <c r="C206" t="inlineStr">
        <is>
          <t>SIFEM Portfolio -- Fidelity Equity Fund II</t>
        </is>
      </c>
      <c r="D206" t="inlineStr">
        <is>
          <t>June 2026</t>
        </is>
      </c>
      <c r="E206" t="inlineStr">
        <is>
          <t>https://sifem.ch/investments/portfolio/detail/fidelity-equity-fund-ii</t>
        </is>
      </c>
      <c r="F206" t="inlineStr">
        <is>
          <t>Confirms SIFEM and SSNIT as LPs in Fidelity Equity Fund II; fund invests USD 500k-3.5m in unlisted Ghanaian SMEs</t>
        </is>
      </c>
      <c r="G206" t="inlineStr">
        <is>
          <t>S205</t>
        </is>
      </c>
    </row>
    <row r="207">
      <c r="A207" t="inlineStr">
        <is>
          <t>FSDEA Angola / Gemcorp</t>
        </is>
      </c>
      <c r="B207" t="inlineStr">
        <is>
          <t>Press release</t>
        </is>
      </c>
      <c r="C207" t="inlineStr">
        <is>
          <t>Gemcorp Capital -- Gemcorp and FSDEA announce Pan-African Infrastructure Fund (9 Dec 2025)</t>
        </is>
      </c>
      <c r="D207" t="inlineStr">
        <is>
          <t>June 2026</t>
        </is>
      </c>
      <c r="E207" t="inlineStr">
        <is>
          <t>https://gemcorpcapital.com/news/gemcorp-capital-and-fsdea-announce-plans-for-new-pan-african-infrastructure-fund</t>
        </is>
      </c>
      <c r="F207" t="inlineStr">
        <is>
          <t>FSDEA USD 50m seed (up to USD 200m); Gemcorp USD 50m; fund target USD 500m; Abu Dhabi domicile; sectors: critical minerals, water, food, energy transition</t>
        </is>
      </c>
      <c r="G207" t="inlineStr">
        <is>
          <t>S206</t>
        </is>
      </c>
    </row>
    <row r="208">
      <c r="A208" t="inlineStr">
        <is>
          <t>BPOPF / Thusano Capital</t>
        </is>
      </c>
      <c r="B208" t="inlineStr">
        <is>
          <t>Manager website</t>
        </is>
      </c>
      <c r="C208" t="inlineStr">
        <is>
          <t>Thusano Capital -- About / Fund mandate page</t>
        </is>
      </c>
      <c r="D208" t="inlineStr">
        <is>
          <t>June 2026</t>
        </is>
      </c>
      <c r="E208" t="inlineStr">
        <is>
          <t>https://thusanocapital.com/</t>
        </is>
      </c>
      <c r="F208" t="inlineStr">
        <is>
          <t>Thusano Capital confirms management of BWP 1bn infrastructure fund on behalf of BPOPF. Sectors: energy, logistics, communications, agriculture, bulk infrastructure. 100% citizen-owned manager.</t>
        </is>
      </c>
      <c r="G208" t="inlineStr">
        <is>
          <t>S207</t>
        </is>
      </c>
    </row>
    <row r="209">
      <c r="A209" t="inlineStr">
        <is>
          <t>BPOPF / Multiple incubation managers</t>
        </is>
      </c>
      <c r="B209" t="inlineStr">
        <is>
          <t>Trade press</t>
        </is>
      </c>
      <c r="C209" t="inlineStr">
        <is>
          <t>Business Weekly -- Executives suspended at BDC over BPOPF P1bn tender</t>
        </is>
      </c>
      <c r="D209" t="inlineStr">
        <is>
          <t>June 2026</t>
        </is>
      </c>
      <c r="E209" t="inlineStr">
        <is>
          <t>https://businessweekly.co.bw/news/executives-suspended-at-bdc-over-bpopfs-p1bn-tender</t>
        </is>
      </c>
      <c r="F209" t="inlineStr">
        <is>
          <t>Names all six BPOPF incubation programme beneficiaries: Africa Lighthouse Capital, Aleyo Capital (graduated), Thusano Capital, SeventyFive Degrees, 5th Quarter Investment Managers, K-Hill Property Developers. Six tenders ~P6bn awarded since inception. Minimum P500m per manager; current tender BPOPF/INV 008/2024-25.</t>
        </is>
      </c>
      <c r="G209" t="inlineStr">
        <is>
          <t>S208</t>
        </is>
      </c>
    </row>
    <row r="210">
      <c r="A210" t="inlineStr">
        <is>
          <t>NOSI / NSSA Egypt</t>
        </is>
      </c>
      <c r="B210" t="inlineStr">
        <is>
          <t>Official government summary / Arabic local disclosure</t>
        </is>
      </c>
      <c r="C210" t="inlineStr">
        <is>
          <t>Egypt Cabinet / SIS - NOSI annual report and final accounts FY2023/24 reviewed</t>
        </is>
      </c>
      <c r="D210" t="inlineStr">
        <is>
          <t>June 2026</t>
        </is>
      </c>
      <c r="E210" t="inlineStr">
        <is>
          <t>https://sis.gov.eg/en/media-center/news/pm-reviews-social-insurance-finances-and-investment-growth/</t>
        </is>
      </c>
      <c r="F210" t="inlineStr">
        <is>
          <t>NOSI official-public disclosure check; investment fund performance summary, no named African alternative-asset commitment found.</t>
        </is>
      </c>
      <c r="G210" t="inlineStr">
        <is>
          <t>S209</t>
        </is>
      </c>
    </row>
    <row r="211">
      <c r="A211" t="inlineStr">
        <is>
          <t>NOSI / NSSA Egypt</t>
        </is>
      </c>
      <c r="B211" t="inlineStr">
        <is>
          <t>Official Arabic government disclosure</t>
        </is>
      </c>
      <c r="C211" t="inlineStr">
        <is>
          <t>Egypt SIS Arabic - NOSI annual report and final accounts FY2022/23 reviewed by Cabinet</t>
        </is>
      </c>
      <c r="D211" t="inlineStr">
        <is>
          <t>June 2026</t>
        </is>
      </c>
      <c r="E211" t="inlineStr">
        <is>
          <t>https://mediadr.sis.gov.eg/handle/123456789/51009</t>
        </is>
      </c>
      <c r="F211" t="inlineStr">
        <is>
          <t>Arabic local-language NOSI annual report/final account reference; aggregate investment growth but no named private fund/deal commitment.</t>
        </is>
      </c>
      <c r="G211" t="inlineStr">
        <is>
          <t>S210</t>
        </is>
      </c>
    </row>
    <row r="212">
      <c r="A212" t="inlineStr">
        <is>
          <t>NIB Egypt</t>
        </is>
      </c>
      <c r="B212" t="inlineStr">
        <is>
          <t>Official website / publications page</t>
        </is>
      </c>
      <c r="C212" t="inlineStr">
        <is>
          <t>National Investment Bank Egypt - publications page</t>
        </is>
      </c>
      <c r="D212" t="inlineStr">
        <is>
          <t>June 2026</t>
        </is>
      </c>
      <c r="E212" t="inlineStr">
        <is>
          <t>https://www.nib.gov.eg/Arabic/PUBLICATIONS-A/Publications-a.html</t>
        </is>
      </c>
      <c r="F212" t="inlineStr">
        <is>
          <t>NIB public-disclosure check; publications relate to state investment plan/financing, not named pension alternative-asset commitments.</t>
        </is>
      </c>
      <c r="G212" t="inlineStr">
        <is>
          <t>S211</t>
        </is>
      </c>
    </row>
    <row r="213">
      <c r="A213" t="inlineStr">
        <is>
          <t>Ethiopian Investment Holdings</t>
        </is>
      </c>
      <c r="B213" t="inlineStr">
        <is>
          <t>Company / issuer press release</t>
        </is>
      </c>
      <c r="C213" t="inlineStr">
        <is>
          <t>Akobo Minerals secures Ethiopian Sovereign Fund first international investment</t>
        </is>
      </c>
      <c r="D213" t="inlineStr">
        <is>
          <t>June 2026</t>
        </is>
      </c>
      <c r="E213" t="inlineStr">
        <is>
          <t>https://news.cision.com/akobo-minerals-ab/r/akobo-minerals-secures-ethiopian-sovereign-fund-s-first-international-investment,c4216389</t>
        </is>
      </c>
      <c r="F213" t="inlineStr">
        <is>
          <t>EIH USD 3m private placement / 7.4% Akobo Minerals stake; candidate direct equity item requiring scope decision because issuer is listed but project is Ethiopian mining.</t>
        </is>
      </c>
      <c r="G213" t="inlineStr">
        <is>
          <t>S212</t>
        </is>
      </c>
    </row>
    <row r="214">
      <c r="A214" t="inlineStr">
        <is>
          <t>Ethiopian Investment Holdings</t>
        </is>
      </c>
      <c r="B214" t="inlineStr">
        <is>
          <t>Official / portfolio website</t>
        </is>
      </c>
      <c r="C214" t="inlineStr">
        <is>
          <t>Ethiopian Investment Holdings - Investment page</t>
        </is>
      </c>
      <c r="D214" t="inlineStr">
        <is>
          <t>June 2026</t>
        </is>
      </c>
      <c r="E214" t="inlineStr">
        <is>
          <t>https://eih.et/?page_id=139</t>
        </is>
      </c>
      <c r="F214" t="inlineStr">
        <is>
          <t>EIH mandate and investment approach; no fund LP commitments found in official investment page search.</t>
        </is>
      </c>
      <c r="G214" t="inlineStr">
        <is>
          <t>S213</t>
        </is>
      </c>
    </row>
    <row r="215">
      <c r="A215" t="inlineStr">
        <is>
          <t>CMR Morocco</t>
        </is>
      </c>
      <c r="B215" t="inlineStr">
        <is>
          <t>Local-language trade press / annual report coverage</t>
        </is>
      </c>
      <c r="C215" t="inlineStr">
        <is>
          <t>CMR published 2023 activity report; portfolio value and asset mix coverage</t>
        </is>
      </c>
      <c r="D215" t="inlineStr">
        <is>
          <t>June 2026</t>
        </is>
      </c>
      <c r="E215" t="inlineStr">
        <is>
          <t>https://aujourdhui.ma/societe/cmr-la-pension-moyenne-mensuelle-des-nouveaux-retraites-etablie-a-10-966-dh</t>
        </is>
      </c>
      <c r="F215" t="inlineStr">
        <is>
          <t>CMR public disclosure check; confirms activity report and portfolio values, no named African PE/infrastructure fund commitment found.</t>
        </is>
      </c>
      <c r="G215" t="inlineStr">
        <is>
          <t>S214</t>
        </is>
      </c>
    </row>
    <row r="216">
      <c r="A216" t="inlineStr">
        <is>
          <t>CMR Morocco</t>
        </is>
      </c>
      <c r="B216" t="inlineStr">
        <is>
          <t>Local-language press / real estate allocation</t>
        </is>
      </c>
      <c r="C216" t="inlineStr">
        <is>
          <t>CMR diversifies through OPCI real-estate vehicles</t>
        </is>
      </c>
      <c r="D216" t="inlineStr">
        <is>
          <t>June 2026</t>
        </is>
      </c>
      <c r="E216" t="inlineStr">
        <is>
          <t>https://leseco.ma/business/retraite-la-cmr-diversifie-ses-placements.html</t>
        </is>
      </c>
      <c r="F216" t="inlineStr">
        <is>
          <t>CMR candidate real-estate/OPCI alternative allocation; vehicle identities not yet resolved and likely outside core PE/infra scope.</t>
        </is>
      </c>
      <c r="G216" t="inlineStr">
        <is>
          <t>S215</t>
        </is>
      </c>
    </row>
    <row r="217">
      <c r="A217" t="inlineStr">
        <is>
          <t>RCAR Morocco</t>
        </is>
      </c>
      <c r="B217" t="inlineStr">
        <is>
          <t>Allocator annual report</t>
        </is>
      </c>
      <c r="C217" t="inlineStr">
        <is>
          <t>CNRA-RCAR Rapport d?activit? 2023</t>
        </is>
      </c>
      <c r="D217" t="inlineStr">
        <is>
          <t>June 2026</t>
        </is>
      </c>
      <c r="E217" t="inlineStr">
        <is>
          <t>https://www.rcar.ma/uploads/rapport_dactivites/RA%20CNRA%20RCAR%202023%20VFr.pdf</t>
        </is>
      </c>
      <c r="F217" t="inlineStr">
        <is>
          <t>RCAR official report; evidence of mandates with CDG Capital, CDG Invest for unlisted participations, and Ewane Assets for real estate; no named allocator-to-fund commitment yet.</t>
        </is>
      </c>
      <c r="G217" t="inlineStr">
        <is>
          <t>S216</t>
        </is>
      </c>
    </row>
    <row r="218">
      <c r="A218" t="inlineStr">
        <is>
          <t>Sanlam Umbrella Fund</t>
        </is>
      </c>
      <c r="B218" t="inlineStr">
        <is>
          <t>Allocator trustee report</t>
        </is>
      </c>
      <c r="C218" t="inlineStr">
        <is>
          <t>Sanlam Umbrella Fund Annual Trustee Report 2024</t>
        </is>
      </c>
      <c r="D218" t="inlineStr">
        <is>
          <t>June 2026</t>
        </is>
      </c>
      <c r="E218" t="inlineStr">
        <is>
          <t>https://seb-news.sanlam.co.za/wp-content/uploads/2025/03/Sanlam-Umbrella-Fund-Trustee-Report-2024_FINAL.pdf</t>
        </is>
      </c>
      <c r="F218" t="inlineStr">
        <is>
          <t>Sanlam Umbrella Fund official disclosure check; governance/responsible investment reporting reviewed, no named African alternative-asset fund/deal commitment found.</t>
        </is>
      </c>
      <c r="G218" t="inlineStr">
        <is>
          <t>S217</t>
        </is>
      </c>
    </row>
    <row r="219">
      <c r="A219" t="inlineStr">
        <is>
          <t>Government Institutions Pension Fund (GIPF)</t>
        </is>
      </c>
      <c r="B219" t="inlineStr">
        <is>
          <t>Annual Report</t>
        </is>
      </c>
      <c r="C219" t="inlineStr">
        <is>
          <t>GIPF 2023 Integrated Annual Report (year ended 31 March 2023)</t>
        </is>
      </c>
      <c r="D219" t="inlineStr">
        <is>
          <t>2024-06-05</t>
        </is>
      </c>
      <c r="E219" t="inlineStr">
        <is>
          <t>https://www.gipf.com.na/wp-content/uploads/2023/10/GIPF-2023-Integrated-Annual-Report.pdf</t>
        </is>
      </c>
      <c r="F219" t="inlineStr">
        <is>
          <t>Fund manager table (pp.84-85) and Unlisted Investment Fund Manager descriptions (pp.96-99). Identified: South Suez Capital (N$2.75bn), Investec Africa PE Fund 2, Neoma Africa Fund III (prev Abraaj), Actis Africa PE (N$101m), Growthpoint Investec Africa Properties Limited. Added as rows 104-108.</t>
        </is>
      </c>
      <c r="G219" t="inlineStr">
        <is>
          <t>S218</t>
        </is>
      </c>
    </row>
    <row r="220">
      <c r="A220" t="inlineStr">
        <is>
          <t>GEPF / PIC</t>
        </is>
      </c>
      <c r="B220" t="inlineStr">
        <is>
          <t>Allocator annual report</t>
        </is>
      </c>
      <c r="C220" t="inlineStr">
        <is>
          <t>GEPF Annual Report 2024/25</t>
        </is>
      </c>
      <c r="D220" t="inlineStr">
        <is>
          <t>June 2026</t>
        </is>
      </c>
      <c r="E220" t="inlineStr">
        <is>
          <t>https://gepf.co.za/wp-content/uploads/2025/11/GEPF_AR_2025_digital.pdf</t>
        </is>
      </c>
      <c r="F220" t="inlineStr">
        <is>
          <t>GEPF official disclosure sweep; Isibaya/unlisted portfolio and approved allocation to Ninety One Credit Fund - African Credit Opportunities Fund III.</t>
        </is>
      </c>
      <c r="G220" t="inlineStr">
        <is>
          <t>S219</t>
        </is>
      </c>
    </row>
    <row r="221">
      <c r="A221" t="inlineStr">
        <is>
          <t>GEPF / PIC</t>
        </is>
      </c>
      <c r="B221" t="inlineStr">
        <is>
          <t>Asset manager annual report</t>
        </is>
      </c>
      <c r="C221" t="inlineStr">
        <is>
          <t>PIC Integrated Annual Report 2024</t>
        </is>
      </c>
      <c r="D221" t="inlineStr">
        <is>
          <t>June 2026</t>
        </is>
      </c>
      <c r="E221" t="inlineStr">
        <is>
          <t>https://www.pic.gov.za/DocAnnualReports1/PIC%20Integrated%20Annual%20Report%202024.pdf</t>
        </is>
      </c>
      <c r="F221" t="inlineStr">
        <is>
          <t>PIC/GEPF unlisted investments and Africa ex-SA equity/developmental portfolio cross-check.</t>
        </is>
      </c>
      <c r="G221" t="inlineStr">
        <is>
          <t>S220</t>
        </is>
      </c>
    </row>
    <row r="222">
      <c r="A222" t="inlineStr">
        <is>
          <t>Libyan Investment Authority</t>
        </is>
      </c>
      <c r="B222" t="inlineStr">
        <is>
          <t>IFSWF self-assessment / official disclosure</t>
        </is>
      </c>
      <c r="C222" t="inlineStr">
        <is>
          <t>Libyan Investment Authority Santiago Principles Self-Assessment 2025</t>
        </is>
      </c>
      <c r="D222" t="inlineStr">
        <is>
          <t>June 2026</t>
        </is>
      </c>
      <c r="E222" t="inlineStr">
        <is>
          <t>https://www.ifswf.org/assessment/lia-2025</t>
        </is>
      </c>
      <c r="F222" t="inlineStr">
        <is>
          <t>LIA official governance/financial-disclosure sweep; confirms financial statements work and investment policy, but no named African fund commitment.</t>
        </is>
      </c>
      <c r="G222" t="inlineStr">
        <is>
          <t>S221</t>
        </is>
      </c>
    </row>
    <row r="223">
      <c r="A223" t="inlineStr">
        <is>
          <t>Libyan Investment Authority</t>
        </is>
      </c>
      <c r="B223" t="inlineStr">
        <is>
          <t>Local press / official statement coverage</t>
        </is>
      </c>
      <c r="C223" t="inlineStr">
        <is>
          <t>LIA announces 2025 direct financial assets results</t>
        </is>
      </c>
      <c r="D223" t="inlineStr">
        <is>
          <t>June 2026</t>
        </is>
      </c>
      <c r="E223" t="inlineStr">
        <is>
          <t>https://libyaherald.com/2026/03/lia-announces-2025-direct-financial-assets-results-at-us-41-7-billion-generating-returns-of-us-2-billion-4-79/</t>
        </is>
      </c>
      <c r="F223" t="inlineStr">
        <is>
          <t>LIA 2025 portfolio structure: time deposits, equities, and investment-fund portfolio; no named African private-market vehicle disclosed.</t>
        </is>
      </c>
      <c r="G223" t="inlineStr">
        <is>
          <t>S222</t>
        </is>
      </c>
    </row>
    <row r="224">
      <c r="A224" t="inlineStr">
        <is>
          <t>CDG Morocco</t>
        </is>
      </c>
      <c r="B224" t="inlineStr">
        <is>
          <t>Subsidiary annual financial report</t>
        </is>
      </c>
      <c r="C224" t="inlineStr">
        <is>
          <t>CDG Capital Rapport Financier Annuel 2024</t>
        </is>
      </c>
      <c r="D224" t="inlineStr">
        <is>
          <t>June 2026</t>
        </is>
      </c>
      <c r="E224" t="inlineStr">
        <is>
          <t>https://www.cdgcapital.ma/sites/default/files/RapportFinancier%20AnnuelCDG%20CapitalFY2024.pdf</t>
        </is>
      </c>
      <c r="F224" t="inlineStr">
        <is>
          <t>CDG/CDG Capital official disclosure sweep; current activity and financial report, no new named pension/SWF LP commitment beyond existing CDG rows.</t>
        </is>
      </c>
      <c r="G224" t="inlineStr">
        <is>
          <t>S223</t>
        </is>
      </c>
    </row>
    <row r="225">
      <c r="A225" t="inlineStr">
        <is>
          <t>CDG Morocco</t>
        </is>
      </c>
      <c r="B225" t="inlineStr">
        <is>
          <t>Historical annual report</t>
        </is>
      </c>
      <c r="C225" t="inlineStr">
        <is>
          <t>CDG Capital Annual Report 2016</t>
        </is>
      </c>
      <c r="D225" t="inlineStr">
        <is>
          <t>June 2026</t>
        </is>
      </c>
      <c r="E225" t="inlineStr">
        <is>
          <t>https://www.cdgcapital.ma/sites/default/files/publication/2019-01/Rapport%20Annuel%202016.pdf</t>
        </is>
      </c>
      <c r="F225" t="inlineStr">
        <is>
          <t>Historical CDG Capital private-equity / CapMezzanine context; reviewed for possible older fund rows.</t>
        </is>
      </c>
      <c r="G225" t="inlineStr">
        <is>
          <t>S224</t>
        </is>
      </c>
    </row>
    <row r="226">
      <c r="A226" t="inlineStr">
        <is>
          <t>CNSS Morocco</t>
        </is>
      </c>
      <c r="B226" t="inlineStr">
        <is>
          <t>Local-language social security report coverage</t>
        </is>
      </c>
      <c r="C226" t="inlineStr">
        <is>
          <t>CNSS AMO statistical report 2023 coverage</t>
        </is>
      </c>
      <c r="D226" t="inlineStr">
        <is>
          <t>June 2026</t>
        </is>
      </c>
      <c r="E226" t="inlineStr">
        <is>
          <t>https://aujourdhui.ma/societe/amo-les-chiffres-de-la-cnss-en-2023</t>
        </is>
      </c>
      <c r="F226" t="inlineStr">
        <is>
          <t>CNSS official/statistical disclosure sweep; operating/social-security data, no named alternative-asset commitment found.</t>
        </is>
      </c>
      <c r="G226" t="inlineStr">
        <is>
          <t>S225</t>
        </is>
      </c>
    </row>
    <row r="227">
      <c r="A227" t="inlineStr">
        <is>
          <t>CNSS Morocco</t>
        </is>
      </c>
      <c r="B227" t="inlineStr">
        <is>
          <t>Local press / real-estate financing mechanism</t>
        </is>
      </c>
      <c r="C227" t="inlineStr">
        <is>
          <t>State asset sales / innovative financing: CNSS creates OPCI in 2024</t>
        </is>
      </c>
      <c r="D227" t="inlineStr">
        <is>
          <t>June 2026</t>
        </is>
      </c>
      <c r="E227" t="inlineStr">
        <is>
          <t>https://medias24.com/2025/07/15/financements-innovants-35-mmdh-en-2024/</t>
        </is>
      </c>
      <c r="F227" t="inlineStr">
        <is>
          <t>CNSS candidate OPCI/state-asset real-estate vehicle lead; likely outside core PE/infra scope unless dashboard includes real estate vehicles.</t>
        </is>
      </c>
      <c r="G227" t="inlineStr">
        <is>
          <t>S226</t>
        </is>
      </c>
    </row>
    <row r="228">
      <c r="A228" t="inlineStr">
        <is>
          <t>CIMR Morocco</t>
        </is>
      </c>
      <c r="B228" t="inlineStr">
        <is>
          <t>Allocator documentation page</t>
        </is>
      </c>
      <c r="C228" t="inlineStr">
        <is>
          <t>CIMR documentation page - annual reports including 2024</t>
        </is>
      </c>
      <c r="D228" t="inlineStr">
        <is>
          <t>June 2026</t>
        </is>
      </c>
      <c r="E228" t="inlineStr">
        <is>
          <t>https://www.cimr.ma/a-propos-cimr/espace-documentation/</t>
        </is>
      </c>
      <c r="F228" t="inlineStr">
        <is>
          <t>CIMR public disclosure sweep; annual reports available, no named African alternative fund commitment found in initial pass.</t>
        </is>
      </c>
      <c r="G228" t="inlineStr">
        <is>
          <t>S227</t>
        </is>
      </c>
    </row>
    <row r="229">
      <c r="A229" t="inlineStr">
        <is>
          <t>CIMR Morocco</t>
        </is>
      </c>
      <c r="B229" t="inlineStr">
        <is>
          <t>Local financial press</t>
        </is>
      </c>
      <c r="C229" t="inlineStr">
        <is>
          <t>CIMR 2023 portfolio value coverage</t>
        </is>
      </c>
      <c r="D229" t="inlineStr">
        <is>
          <t>June 2026</t>
        </is>
      </c>
      <c r="E229" t="inlineStr">
        <is>
          <t>https://boursenews.ma/article/marches/CIMR-resultats-2023</t>
        </is>
      </c>
      <c r="F229" t="inlineStr">
        <is>
          <t>CIMR placement portfolio size cross-check; no named private-market vehicle evidence in source.</t>
        </is>
      </c>
      <c r="G229" t="inlineStr">
        <is>
          <t>S228</t>
        </is>
      </c>
    </row>
    <row r="230">
      <c r="A230" t="inlineStr">
        <is>
          <t>BPOPF</t>
        </is>
      </c>
      <c r="B230" t="inlineStr">
        <is>
          <t>Allocator annual reports page</t>
        </is>
      </c>
      <c r="C230" t="inlineStr">
        <is>
          <t>BPOPF Annual Reports page including Annual Report 2024/25</t>
        </is>
      </c>
      <c r="D230" t="inlineStr">
        <is>
          <t>June 2026</t>
        </is>
      </c>
      <c r="E230" t="inlineStr">
        <is>
          <t>https://www.bpopf.co.bw/AnnualDisp</t>
        </is>
      </c>
      <c r="F230" t="inlineStr">
        <is>
          <t>BPOPF official disclosure sweep; annual report page and existing unlisted/incubation programme context checked.</t>
        </is>
      </c>
      <c r="G230" t="inlineStr">
        <is>
          <t>S229</t>
        </is>
      </c>
    </row>
    <row r="231">
      <c r="A231" t="inlineStr">
        <is>
          <t>BPOPF / Botswana funds</t>
        </is>
      </c>
      <c r="B231" t="inlineStr">
        <is>
          <t>Regulator annual report</t>
        </is>
      </c>
      <c r="C231" t="inlineStr">
        <is>
          <t>NBFIRA Annual Report 2024</t>
        </is>
      </c>
      <c r="D231" t="inlineStr">
        <is>
          <t>June 2026</t>
        </is>
      </c>
      <c r="E231" t="inlineStr">
        <is>
          <t>https://www.nbfira.org.bw/wp-content/uploads/2025/01/nbfira-annual-report-2024.pdf</t>
        </is>
      </c>
      <c r="F231" t="inlineStr">
        <is>
          <t>Botswana retirement-fund industry allocation cross-check, including unlisted equity category and BPOPF as top fund.</t>
        </is>
      </c>
      <c r="G231" t="inlineStr">
        <is>
          <t>S230</t>
        </is>
      </c>
    </row>
    <row r="232">
      <c r="A232" t="inlineStr">
        <is>
          <t>PSSSF Tanzania</t>
        </is>
      </c>
      <c r="B232" t="inlineStr">
        <is>
          <t>Local press / official remarks</t>
        </is>
      </c>
      <c r="C232" t="inlineStr">
        <is>
          <t>PSSSF posts 1.3tri profit in government bonds</t>
        </is>
      </c>
      <c r="D232" t="inlineStr">
        <is>
          <t>June 2026</t>
        </is>
      </c>
      <c r="E232" t="inlineStr">
        <is>
          <t>https://dailynews.co.tz/psssf-posts-1-3tri-profit-in-government-bonds/</t>
        </is>
      </c>
      <c r="F232" t="inlineStr">
        <is>
          <t>PSSSF disclosure sweep; confirms conservative government-bond/securities focus and no named PE/infra fund commitment in reviewed source.</t>
        </is>
      </c>
      <c r="G232" t="inlineStr">
        <is>
          <t>S231</t>
        </is>
      </c>
    </row>
    <row r="233">
      <c r="A233" t="inlineStr">
        <is>
          <t>EPPF South Africa</t>
        </is>
      </c>
      <c r="B233" t="inlineStr">
        <is>
          <t>Allocator annual reports page</t>
        </is>
      </c>
      <c r="C233" t="inlineStr">
        <is>
          <t>EPPF Annual Reports page including 2025 Integrated Annual Report</t>
        </is>
      </c>
      <c r="D233" t="inlineStr">
        <is>
          <t>June 2026</t>
        </is>
      </c>
      <c r="E233" t="inlineStr">
        <is>
          <t>https://www.eppf.co.za/governance/annual-reports</t>
        </is>
      </c>
      <c r="F233" t="inlineStr">
        <is>
          <t>EPPF official disclosure sweep; reports available, no new named African alternative fund commitment found beyond existing PE exposure row.</t>
        </is>
      </c>
      <c r="G233" t="inlineStr">
        <is>
          <t>S232</t>
        </is>
      </c>
    </row>
    <row r="234">
      <c r="A234" t="inlineStr">
        <is>
          <t>FONSIS (Senegal)</t>
        </is>
      </c>
      <c r="B234" t="inlineStr">
        <is>
          <t>Fund manager website / Press release</t>
        </is>
      </c>
      <c r="C234" t="inlineStr">
        <is>
          <t>Teranga Capital – About Us; IETP fund launch announcement; Africa Global Funds coverage</t>
        </is>
      </c>
      <c r="D234" t="inlineStr">
        <is>
          <t>2024-06-05</t>
        </is>
      </c>
      <c r="E234" t="inlineStr">
        <is>
          <t>https://www.terangacapital.com/en/about-us/</t>
        </is>
      </c>
      <c r="F234" t="inlineStr">
        <is>
          <t>FONSIS confirmed as founding LP/shareholder in Teranga Capital (2016 impact SME fund, Senegal). Added as row 109.</t>
        </is>
      </c>
      <c r="G234" t="inlineStr">
        <is>
          <t>S233</t>
        </is>
      </c>
    </row>
    <row r="235">
      <c r="A235" t="inlineStr">
        <is>
          <t>CDC Gabon (State pension fund of Gabon)</t>
        </is>
      </c>
      <c r="B235" t="inlineStr">
        <is>
          <t>Fund manager press release</t>
        </is>
      </c>
      <c r="C235" t="inlineStr">
        <is>
          <t>Amethis Finance – Announces the Creation of Amethis West Africa (AWA)</t>
        </is>
      </c>
      <c r="D235" t="inlineStr">
        <is>
          <t>2026-06-08</t>
        </is>
      </c>
      <c r="E235" t="inlineStr">
        <is>
          <t>https://amethis.com/en/amethis-finance-announces-the-creation-of-amethis-west-africa/</t>
        </is>
      </c>
      <c r="F235" t="inlineStr">
        <is>
          <t>CDC Gabon confirmed as named LP in Amethis West Africa fund (€40-45m, 2014, CIMA zone). Added as Commitments DB row 110.</t>
        </is>
      </c>
      <c r="G235" t="inlineStr">
        <is>
          <t>S234</t>
        </is>
      </c>
    </row>
    <row r="236">
      <c r="A236" t="inlineStr">
        <is>
          <t>Caisse Nationale de Prévoyance Sociale (CNPS-CI)</t>
        </is>
      </c>
      <c r="B236" t="inlineStr">
        <is>
          <t>Third-party report</t>
        </is>
      </c>
      <c r="C236" t="inlineStr">
        <is>
          <t>Côte d'Ivoire's CNPS Assets Grow from $40M to $2B in 13 Years – Pension Policy International (citing Agence Ecofin)</t>
        </is>
      </c>
      <c r="D236" t="inlineStr">
        <is>
          <t>2026-06-08</t>
        </is>
      </c>
      <c r="E236" t="inlineStr">
        <is>
          <t>https://www.pensionpolicyinternational.com/cote-divoires-cnps-assets-grow-from-40m-to-2b-in-13-years/</t>
        </is>
      </c>
      <c r="F236" t="inlineStr">
        <is>
          <t>CNPS-CI reported to invest in "investment funds such as one launched by Amethis and the Africa50 fund". Specific fund name unconfirmed. Added as Commitments DB row 111 with confidence M.</t>
        </is>
      </c>
      <c r="G236" t="inlineStr">
        <is>
          <t>S235</t>
        </is>
      </c>
    </row>
    <row r="237">
      <c r="A237" t="inlineStr">
        <is>
          <t>Multiple (EPPF, KPLC PF, KenGen, CBK, Old Mutual Kenya)</t>
        </is>
      </c>
      <c r="B237" t="inlineStr">
        <is>
          <t>Industry association press release</t>
        </is>
      </c>
      <c r="C237" t="inlineStr">
        <is>
          <t>APSA / Prosper Africa — U.S., Kenyan, and South African Pension Funds Commit Over $94 Million to African Private Equity &amp; Infrastructure</t>
        </is>
      </c>
      <c r="D237" t="inlineStr">
        <is>
          <t>2026-06-10</t>
        </is>
      </c>
      <c r="E237" t="inlineStr">
        <is>
          <t>https://www.africapsa.org/news/u-s-kenyan-and-south-african-pension-funds-commit-over-94-million-to-african-private-equity-infrastructure/</t>
        </is>
      </c>
      <c r="F237" t="inlineStr">
        <is>
          <t>Named African pension LPs in DPI ADP III (EPPF USD 20m, KenGen, Banki Kuu/CBK, Old Mutual Umbrella Kenya) and EKIF (KPLC PF USD 9m). Added as Commitments DB rows 112-116.</t>
        </is>
      </c>
      <c r="G237" t="inlineStr">
        <is>
          <t>S236</t>
        </is>
      </c>
    </row>
    <row r="238">
      <c r="A238" t="inlineStr">
        <is>
          <t>Multiple Nigerian PFAs (consortium)</t>
        </is>
      </c>
      <c r="B238" t="inlineStr">
        <is>
          <t>Fund manager press release</t>
        </is>
      </c>
      <c r="C238" t="inlineStr">
        <is>
          <t>Chapel Hill Denham — NIDF raises N17.85 billion in sixth capital raise</t>
        </is>
      </c>
      <c r="D238" t="inlineStr">
        <is>
          <t>2026-06-10</t>
        </is>
      </c>
      <c r="E238" t="inlineStr">
        <is>
          <t>https://chapelhilldenham.com/nidf-raises-n17-85-billion-in-sixth-capital-raise/</t>
        </is>
      </c>
      <c r="F238" t="inlineStr">
        <is>
          <t>22 Nigerian PFAs invested in NIDF across Series 1-6; fund size N58bn (~USD 190m). Added as Commitments DB row 117.</t>
        </is>
      </c>
      <c r="G238" t="inlineStr">
        <is>
          <t>S237</t>
        </is>
      </c>
    </row>
    <row r="239">
      <c r="A239" t="inlineStr">
        <is>
          <t>KEPFIC (Kenya Pension Funds Investment Consortium)</t>
        </is>
      </c>
      <c r="B239" t="inlineStr">
        <is>
          <t>DFI case study</t>
        </is>
      </c>
      <c r="C239" t="inlineStr">
        <is>
          <t>IFC — Pooling Pensions in Kenya</t>
        </is>
      </c>
      <c r="D239" t="inlineStr">
        <is>
          <t>2026-06-10</t>
        </is>
      </c>
      <c r="E239" t="inlineStr">
        <is>
          <t>https://www.ifc.org/en/stories/2023/pooling-pensions-in-kenya</t>
        </is>
      </c>
      <c r="F239" t="inlineStr">
        <is>
          <t>KEPFIC USD 11m investment in Acorn Student Accommodation D-REIT; blended return 18.3%. Added as Commitments DB row 118.</t>
        </is>
      </c>
      <c r="G239" t="inlineStr">
        <is>
          <t>S238</t>
        </is>
      </c>
    </row>
    <row r="240">
      <c r="A240" t="inlineStr">
        <is>
          <t>Public Officers' Defined Contribution Pension Fund (PODCPF)</t>
        </is>
      </c>
      <c r="B240" t="inlineStr">
        <is>
          <t>Industry study</t>
        </is>
      </c>
      <c r="C240" t="inlineStr">
        <is>
          <t>SAVCA / FSD Africa — Pension funds, private equity and private debt in Southern Africa (2022), Lesotho chapter pp.36-37</t>
        </is>
      </c>
      <c r="D240" t="inlineStr">
        <is>
          <t>2026-06-10</t>
        </is>
      </c>
      <c r="E240" t="inlineStr">
        <is>
          <t>https://www.fsdafrica.org/wp-content/uploads/2022/08/SAVCA-Pension-fund-Study-22.08.22-2.pdf</t>
        </is>
      </c>
      <c r="F240" t="inlineStr">
        <is>
          <t>PODCPF ~3% PE allocation managed by Mergence Lesotho (only PE manager in country). Added as Commitments DB row 119.</t>
        </is>
      </c>
      <c r="G240" t="inlineStr">
        <is>
          <t>S239</t>
        </is>
      </c>
    </row>
    <row r="241">
      <c r="A241" t="inlineStr">
        <is>
          <t>Public Officers' Defined Contribution Pension Fund (PODCPF)</t>
        </is>
      </c>
      <c r="B241" t="inlineStr">
        <is>
          <t>Fund manager website / Trade press</t>
        </is>
      </c>
      <c r="C241" t="inlineStr">
        <is>
          <t>Mergence Lesotho — Making An Impact; MFW4A — Innovative private equity model for Lesotho</t>
        </is>
      </c>
      <c r="D241" t="inlineStr">
        <is>
          <t>2026-06-10</t>
        </is>
      </c>
      <c r="E241" t="inlineStr">
        <is>
          <t>https://www.mfw4a.org/news/innovative-private-equity-model-lesotho</t>
        </is>
      </c>
      <c r="F241" t="inlineStr">
        <is>
          <t>Corroborates Mergence Lesotho investing on behalf of largest Lesotho pension fund in local infrastructure &amp; development projects (medical agriculture, Maseru property).</t>
        </is>
      </c>
      <c r="G241" t="inlineStr">
        <is>
          <t>S240</t>
        </is>
      </c>
    </row>
    <row r="242">
      <c r="A242" t="inlineStr">
        <is>
          <t>PIC / GEPF</t>
        </is>
      </c>
      <c r="B242" t="inlineStr">
        <is>
          <t>DFI / investor press release</t>
        </is>
      </c>
      <c r="C242" t="inlineStr">
        <is>
          <t>BII and PIC announce first investment under new partnership to drive growth for African businesses</t>
        </is>
      </c>
      <c r="D242" t="inlineStr">
        <is>
          <t>2026-06-22</t>
        </is>
      </c>
      <c r="E242" t="inlineStr">
        <is>
          <t>https://www.bii.co.uk/en/news-insight/news/bii-and-pic-announce-first-investment-under-new-partnership-to-drive-growth-for-african-businesses/</t>
        </is>
      </c>
      <c r="F242" t="inlineStr">
        <is>
          <t>PIC/GEPF via PIC USD 30m commitment to Enko Impact Credit Fund; BII partnership co-investment evidence.</t>
        </is>
      </c>
      <c r="G242" t="inlineStr">
        <is>
          <t>S241</t>
        </is>
      </c>
    </row>
    <row r="243">
      <c r="A243" t="inlineStr">
        <is>
          <t>PIC / GEPF</t>
        </is>
      </c>
      <c r="B243" t="inlineStr">
        <is>
          <t>Trade press</t>
        </is>
      </c>
      <c r="C243" t="inlineStr">
        <is>
          <t>Ecofin Agency ? Enko Capital raises $130mln for its private credit fund</t>
        </is>
      </c>
      <c r="D243" t="inlineStr">
        <is>
          <t>2026-06-22</t>
        </is>
      </c>
      <c r="E243" t="inlineStr">
        <is>
          <t>https://www.ecofinagency.com/news-finances/2411-50773-enko-capital-raises-130mln-for-its-private-credit-fund</t>
        </is>
      </c>
      <c r="F243" t="inlineStr">
        <is>
          <t>Enko Impact Credit Fund first close and PIC USD 30m commitment corroboration.</t>
        </is>
      </c>
      <c r="G243" t="inlineStr">
        <is>
          <t>S242</t>
        </is>
      </c>
    </row>
    <row r="244">
      <c r="A244" t="inlineStr">
        <is>
          <t>PIC / GEPF</t>
        </is>
      </c>
      <c r="B244" t="inlineStr">
        <is>
          <t>Fund manager press release</t>
        </is>
      </c>
      <c r="C244" t="inlineStr">
        <is>
          <t>Hlayisani Capital ? Hlayisani Venture Fund II first close / anchored by PIC and SA SME Fund</t>
        </is>
      </c>
      <c r="D244" t="inlineStr">
        <is>
          <t>2026-06-22</t>
        </is>
      </c>
      <c r="E244" t="inlineStr">
        <is>
          <t>https://hlayisani.com/news/</t>
        </is>
      </c>
      <c r="F244" t="inlineStr">
        <is>
          <t>Hlayisani Venture Fund II ZAR 500m first close anchored by PIC and SA SME Fund.</t>
        </is>
      </c>
      <c r="G244" t="inlineStr">
        <is>
          <t>S243</t>
        </is>
      </c>
    </row>
    <row r="245">
      <c r="A245" t="inlineStr">
        <is>
          <t>MIRF / Copartes Pension Fund</t>
        </is>
      </c>
      <c r="B245" t="inlineStr">
        <is>
          <t>UN agency press release</t>
        </is>
      </c>
      <c r="C245" t="inlineStr">
        <is>
          <t>UNECA ? African Women Impact Fund launches with USD 60 million commitment</t>
        </is>
      </c>
      <c r="D245" t="inlineStr">
        <is>
          <t>2026-06-22</t>
        </is>
      </c>
      <c r="E245" t="inlineStr">
        <is>
          <t>https://www.uneca.org/stories/african-women-impact-fund-launches-with-usd%2460-million-commitment-to-drive-an-inclusive</t>
        </is>
      </c>
      <c r="F245" t="inlineStr">
        <is>
          <t>MIRF and Copartes Pension Fund brought USD 45m under AWIF as part of USD 60m first commitment with BADEA.</t>
        </is>
      </c>
      <c r="G245" t="inlineStr">
        <is>
          <t>S244</t>
        </is>
      </c>
    </row>
    <row r="246">
      <c r="A246" t="inlineStr">
        <is>
          <t>MIRF / Copartes Pension Fund</t>
        </is>
      </c>
      <c r="B246" t="inlineStr">
        <is>
          <t>Advisor case study</t>
        </is>
      </c>
      <c r="C246" t="inlineStr">
        <is>
          <t>MiDA Advisors ? The African Women Impact Fund</t>
        </is>
      </c>
      <c r="D246" t="inlineStr">
        <is>
          <t>2026-06-22</t>
        </is>
      </c>
      <c r="E246" t="inlineStr">
        <is>
          <t>https://www.midaadvisors.com/advisory-firm-the-african-women-impact-fund</t>
        </is>
      </c>
      <c r="F246" t="inlineStr">
        <is>
          <t>AWIF structure, investor mobilization context, and African pension capital participation.</t>
        </is>
      </c>
      <c r="G246" t="inlineStr">
        <is>
          <t>S245</t>
        </is>
      </c>
    </row>
    <row r="247">
      <c r="A247" t="inlineStr">
        <is>
          <t>Mineworkers Provident Fund / NFMW</t>
        </is>
      </c>
      <c r="B247" t="inlineStr">
        <is>
          <t>Trade press</t>
        </is>
      </c>
      <c r="C247" t="inlineStr">
        <is>
          <t>Africa Private Equity News ? Kholo Capital Mezzanine Debt Fund I achieves first close</t>
        </is>
      </c>
      <c r="D247" t="inlineStr">
        <is>
          <t>2026-06-22</t>
        </is>
      </c>
      <c r="E247" t="inlineStr">
        <is>
          <t>https://www.africaprivateequitynews.com/p/kholo-capital-mezzanine-debt-fund-i-achieves-first-close</t>
        </is>
      </c>
      <c r="F247" t="inlineStr">
        <is>
          <t>Kholo Capital Mezzanine Debt Fund I R870m first close and named South African pension LPs.</t>
        </is>
      </c>
      <c r="G247" t="inlineStr">
        <is>
          <t>S246</t>
        </is>
      </c>
    </row>
    <row r="248">
      <c r="A248" t="inlineStr">
        <is>
          <t>Mineworkers Provident Fund / NFMW</t>
        </is>
      </c>
      <c r="B248" t="inlineStr">
        <is>
          <t>Trade press</t>
        </is>
      </c>
      <c r="C248" t="inlineStr">
        <is>
          <t>Fintech Finance ? Debt fund Kholo Capital Mezzanine Debt Fund I achieve first close at R870m</t>
        </is>
      </c>
      <c r="D248" t="inlineStr">
        <is>
          <t>2026-06-22</t>
        </is>
      </c>
      <c r="E248" t="inlineStr">
        <is>
          <t>https://ffnews.com/newsarticle/debt-fund-kholo-capital-mezzanine-debt-fund-i-achieve-first-close-at-r870m/</t>
        </is>
      </c>
      <c r="F248" t="inlineStr">
        <is>
          <t>Corroborates Kholo Capital Mezzanine Debt Fund I first close and institutional investor participation.</t>
        </is>
      </c>
      <c r="G248" t="inlineStr">
        <is>
          <t>S247</t>
        </is>
      </c>
    </row>
    <row r="249">
      <c r="A249" t="inlineStr">
        <is>
          <t>Africa50 IAF / Kenya PSSS / CNPS Cameroon</t>
        </is>
      </c>
      <c r="B249" t="inlineStr">
        <is>
          <t>Press release</t>
        </is>
      </c>
      <c r="C249" t="inlineStr">
        <is>
          <t>Africa50 Infrastructure Acceleration Fund marks inaugural investment in port operator Mass Cereales al Maghreb</t>
        </is>
      </c>
      <c r="D249" t="inlineStr">
        <is>
          <t>2026-06-23</t>
        </is>
      </c>
      <c r="E249" t="inlineStr">
        <is>
          <t>https://www.africa50.com/media/news/article/africa50-infrastructure-acceleration-fund-marks-inaugural-investment-in-port-operator-mass-cereales-al-maghreb/</t>
        </is>
      </c>
      <c r="F249" t="inlineStr">
        <is>
          <t>Africa50 IAF recent commitments from DBSA, Axian Group, Public Service Superannuation Fund (Kenya), and CNPS Cameroon.</t>
        </is>
      </c>
      <c r="G249" t="inlineStr">
        <is>
          <t>S248</t>
        </is>
      </c>
    </row>
    <row r="250">
      <c r="A250" t="inlineStr">
        <is>
          <t>Ninety One</t>
        </is>
      </c>
      <c r="B250" t="inlineStr">
        <is>
          <t>Fund manager press release</t>
        </is>
      </c>
      <c r="C250" t="inlineStr">
        <is>
          <t>Ninety One announces USD 260 million first close of ACO Fund 3</t>
        </is>
      </c>
      <c r="D250" t="inlineStr">
        <is>
          <t>2026-06-23</t>
        </is>
      </c>
      <c r="E250" t="inlineStr">
        <is>
          <t>https://ninetyone.com/en/newsroom/ninety-one-announces-usd260-million-first-close-of-aco-fund-3</t>
        </is>
      </c>
      <c r="F250" t="inlineStr">
        <is>
          <t>ACO Fund 3 first close, fund strategy, anchor LPs IFC, BII, SIFEM, and Standard Bank debt facility.</t>
        </is>
      </c>
      <c r="G250" t="inlineStr">
        <is>
          <t>S249</t>
        </is>
      </c>
    </row>
    <row r="251">
      <c r="A251" t="inlineStr">
        <is>
          <t>FinDev Canada / Ninety One</t>
        </is>
      </c>
      <c r="B251" t="inlineStr">
        <is>
          <t>DFI press release</t>
        </is>
      </c>
      <c r="C251" t="inlineStr">
        <is>
          <t>FinDev Canada commits USD 20 million to Ninety One Africa Credit Opportunities Fund III</t>
        </is>
      </c>
      <c r="D251" t="inlineStr">
        <is>
          <t>2026-06-23</t>
        </is>
      </c>
      <c r="E251" t="inlineStr">
        <is>
          <t>https://www.findevcanada.ca/en/news/findev-canada-commits-usd-20-million-ninety-ones-africa-credit-opportunities-fund-iii-support</t>
        </is>
      </c>
      <c r="F251" t="inlineStr">
        <is>
          <t>Additional DFI co-investor evidence for Ninety One Africa Credit Opportunities Fund III.</t>
        </is>
      </c>
      <c r="G251" t="inlineStr">
        <is>
          <t>S250</t>
        </is>
      </c>
    </row>
    <row r="252">
      <c r="A252" t="inlineStr">
        <is>
          <t>PIC / GEPF</t>
        </is>
      </c>
      <c r="B252" t="inlineStr">
        <is>
          <t>Trade press</t>
        </is>
      </c>
      <c r="C252" t="inlineStr">
        <is>
          <t>Africa Global Funds ? Pembani Remgro Infrastructure Fund hits first close at $245m</t>
        </is>
      </c>
      <c r="D252" t="inlineStr">
        <is>
          <t>2026-06-24</t>
        </is>
      </c>
      <c r="E252" t="inlineStr">
        <is>
          <t>https://www.africaglobalfunds.com/news/private-equity/fundraising/pembani-remgro-infrastructure-fund-hits-first-close-at-245m/</t>
        </is>
      </c>
      <c r="F252" t="inlineStr">
        <is>
          <t>Pembani Remgro Infrastructure Fund first close and investor base. Source mentions private pension funds but does not name PIC/GEPF; row remains verification-needed for named PIC involvement.</t>
        </is>
      </c>
      <c r="G252" t="inlineStr">
        <is>
          <t>S251</t>
        </is>
      </c>
    </row>
    <row r="253">
      <c r="A253" t="inlineStr">
        <is>
          <t>PIC / GEPF</t>
        </is>
      </c>
      <c r="B253" t="inlineStr">
        <is>
          <t>Trade press</t>
        </is>
      </c>
      <c r="C253" t="inlineStr">
        <is>
          <t>Africa Global Funds ? Convergence hits final close at over $200m for ICT infrastructure fund</t>
        </is>
      </c>
      <c r="D253" t="inlineStr">
        <is>
          <t>2026-06-24</t>
        </is>
      </c>
      <c r="E253" t="inlineStr">
        <is>
          <t>https://www.africaglobalfunds.com/news/private-equity/fundraising/convergence-hits-final-close-at-over-200m-for-ict-infrastructure-fund/</t>
        </is>
      </c>
      <c r="F253" t="inlineStr">
        <is>
          <t>Convergence Partners Communication Infrastructure Fund final close names PIC acting on behalf of GEPF and lists DFI co-investors IFC, EIB, FMO, DBSA and CDC/BII.</t>
        </is>
      </c>
      <c r="G253" t="inlineStr">
        <is>
          <t>S252</t>
        </is>
      </c>
    </row>
    <row r="254">
      <c r="A254" t="inlineStr">
        <is>
          <t>Mohammed VI Fund for Investment</t>
        </is>
      </c>
      <c r="B254" t="inlineStr">
        <is>
          <t>Official website</t>
        </is>
      </c>
      <c r="C254" t="inlineStr">
        <is>
          <t>FM6I ? Funds &amp; Investments / thematic and sectoral funds</t>
        </is>
      </c>
      <c r="D254" t="inlineStr">
        <is>
          <t>2026-06-24</t>
        </is>
      </c>
      <c r="E254" t="inlineStr">
        <is>
          <t>https://www.fm6i.ma/en</t>
        </is>
      </c>
      <c r="F254" t="inlineStr">
        <is>
          <t>FM6I mission and operating model, including thematic and sectoral funds, equity participation in high-impact projects, and financing solutions.</t>
        </is>
      </c>
      <c r="G254" t="inlineStr">
        <is>
          <t>S253</t>
        </is>
      </c>
    </row>
    <row r="255">
      <c r="A255" t="inlineStr">
        <is>
          <t>Fundo Soberano de Angola (FSDEA)</t>
        </is>
      </c>
      <c r="B255" t="inlineStr">
        <is>
          <t>Official website</t>
        </is>
      </c>
      <c r="C255" t="inlineStr">
        <is>
          <t>FSDEA ? Council of Ministers approves FSDEA's 2024-2028 Strategic Plan</t>
        </is>
      </c>
      <c r="D255" t="inlineStr">
        <is>
          <t>2026-06-24</t>
        </is>
      </c>
      <c r="E255" t="inlineStr">
        <is>
          <t>https://fundosoberano.ao/en/news-and-events/news/628/council-of-ministers-approves-fsdeas-2024-2028-strategic-plan</t>
        </is>
      </c>
      <c r="F255" t="inlineStr">
        <is>
          <t>FSDEA strategic plan and public reference to the Lobito Corridor Impact Development Platform; supports strategic-plan context rather than a discrete closed transaction.</t>
        </is>
      </c>
      <c r="G255" t="inlineStr">
        <is>
          <t>S254</t>
        </is>
      </c>
    </row>
    <row r="256">
      <c r="A256" t="inlineStr">
        <is>
          <t>Agaciro Development Fund (AgDF)</t>
        </is>
      </c>
      <c r="B256" t="inlineStr">
        <is>
          <t>Annual report</t>
        </is>
      </c>
      <c r="C256" t="inlineStr">
        <is>
          <t>Agaciro Development Fund ? Annual Report 2021</t>
        </is>
      </c>
      <c r="D256" t="inlineStr">
        <is>
          <t>2026-06-24</t>
        </is>
      </c>
      <c r="E256" t="inlineStr">
        <is>
          <t>https://www.agaciro.rw/fileadmin/user_upload/Annual%20Report%202021%20-%20Web.pdf</t>
        </is>
      </c>
      <c r="F256" t="inlineStr">
        <is>
          <t>AgDF audited annual report shows equity allocation and investment portfolio composition; supports aggregate direct-equity exposure, not named individual investments.</t>
        </is>
      </c>
      <c r="G256" t="inlineStr">
        <is>
          <t>S255</t>
        </is>
      </c>
    </row>
    <row r="257">
      <c r="A257" t="inlineStr">
        <is>
          <t>Rwanda Social Security Board (RSSB)</t>
        </is>
      </c>
      <c r="B257" t="inlineStr">
        <is>
          <t>DFI project disclosure / company ownership source</t>
        </is>
      </c>
      <c r="C257" t="inlineStr">
        <is>
          <t>Early Warning System ? GTFP MIGA Kigali / BK Group ownership by RSSB and Agaciro</t>
        </is>
      </c>
      <c r="D257" t="inlineStr">
        <is>
          <t>2026-06-24</t>
        </is>
      </c>
      <c r="E257" t="inlineStr">
        <is>
          <t>https://ewsdata.rightsindevelopment.org/projects/46350-gtfp-miga-kigali/</t>
        </is>
      </c>
      <c r="F257" t="inlineStr">
        <is>
          <t>BK Group ownership disclosure lists RSSB and Agaciro as major BKG owners; supports BK Group strategic stake but not all aggregate RSSB strategic holdings.</t>
        </is>
      </c>
      <c r="G257" t="inlineStr">
        <is>
          <t>S256</t>
        </is>
      </c>
    </row>
    <row r="258">
      <c r="A258" t="inlineStr">
        <is>
          <t>Ghana Infrastructure Investment Fund (GIIF)</t>
        </is>
      </c>
      <c r="B258" t="inlineStr">
        <is>
          <t>Investor presentation</t>
        </is>
      </c>
      <c r="C258" t="inlineStr">
        <is>
          <t>GIIF ? Investor Presentation June 2024</t>
        </is>
      </c>
      <c r="D258" t="inlineStr">
        <is>
          <t>2026-06-24</t>
        </is>
      </c>
      <c r="E258" t="inlineStr">
        <is>
          <t>https://giif.gov.gh/wp-content/uploads/2024/11/GIIF_Investor_Presentation_June-2024.pdf</t>
        </is>
      </c>
      <c r="F258" t="inlineStr">
        <is>
          <t>GIIF mandate, sector focus, committed transactions, investment portfolio and selected pipeline across transport, power, water/waste, housing and other infrastructure.</t>
        </is>
      </c>
      <c r="G258" t="inlineStr">
        <is>
          <t>S257</t>
        </is>
      </c>
    </row>
    <row r="259">
      <c r="A259" t="inlineStr">
        <is>
          <t>FGIS Gabon</t>
        </is>
      </c>
      <c r="B259" t="inlineStr">
        <is>
          <t>IFSWF profile / membership note</t>
        </is>
      </c>
      <c r="C259" t="inlineStr">
        <is>
          <t>IFSWF ? Gabon's Sovereign Wealth Fund, FGIS, joins IFSWF</t>
        </is>
      </c>
      <c r="D259" t="inlineStr">
        <is>
          <t>2026-06-24</t>
        </is>
      </c>
      <c r="E259" t="inlineStr">
        <is>
          <t>https://www.ifswf.org/general-news/gabon%E2%80%99s-sovereign-wealth-fund-fgis-joins-international-forum-sovereign-wealth-funds</t>
        </is>
      </c>
      <c r="F259" t="inlineStr">
        <is>
          <t>FGIS background as asset manager of the Gabonese sovereign wealth fund and manager of state assets; supports strategic-investment role, not row-level named holdings.</t>
        </is>
      </c>
      <c r="G259" t="inlineStr">
        <is>
          <t>S258</t>
        </is>
      </c>
    </row>
    <row r="260">
      <c r="A260" t="inlineStr">
        <is>
          <t>Fonds Souverain de Djibouti (FSD)</t>
        </is>
      </c>
      <c r="B260" t="inlineStr">
        <is>
          <t>Official social profile</t>
        </is>
      </c>
      <c r="C260" t="inlineStr">
        <is>
          <t>Fonds Souverain de Djibouti ? mandate to co-invest in strategic sectors</t>
        </is>
      </c>
      <c r="D260" t="inlineStr">
        <is>
          <t>2026-06-24</t>
        </is>
      </c>
      <c r="E260" t="inlineStr">
        <is>
          <t>https://dj.linkedin.com/company/fonds-souverain-de-djibouti</t>
        </is>
      </c>
      <c r="F260" t="inlineStr">
        <is>
          <t>FSD mandate to catalyze investment by co-investing alongside private sector investors in strategic sectors; supports platform/co-investment mandate context.</t>
        </is>
      </c>
      <c r="G260" t="inlineStr">
        <is>
          <t>S259</t>
        </is>
      </c>
    </row>
    <row r="261">
      <c r="A261" t="inlineStr">
        <is>
          <t>Stanbic IBTC Pension Managers</t>
        </is>
      </c>
      <c r="B261" t="inlineStr">
        <is>
          <t>Official website</t>
        </is>
      </c>
      <c r="C261" t="inlineStr">
        <is>
          <t>Stanbic IBTC Pension Managers ? Multifund Information</t>
        </is>
      </c>
      <c r="D261" t="inlineStr">
        <is>
          <t>2026-06-24</t>
        </is>
      </c>
      <c r="E261" t="inlineStr">
        <is>
          <t>https://www.stanbicibtcpension.com/nigeriapensionmanagers/pension-managers/services/rsa-fund-information/multifund-information</t>
        </is>
      </c>
      <c r="F261" t="inlineStr">
        <is>
          <t>Stanbic IBTC Multi-Fund structure context; does not identify specific PE/infra fund commitments, so row remains aggregate/verification-needed.</t>
        </is>
      </c>
      <c r="G261" t="inlineStr">
        <is>
          <t>S260</t>
        </is>
      </c>
    </row>
    <row r="262">
      <c r="A262" t="inlineStr">
        <is>
          <t>African Capital Alliance (ACA)</t>
        </is>
      </c>
      <c r="B262" t="inlineStr">
        <is>
          <t>EMPEA / GPCA interview</t>
        </is>
      </c>
      <c r="C262" t="inlineStr">
        <is>
          <t>Inside Perspectives: An Interview with Okechukwu Enelamah of African Capital Alliance</t>
        </is>
      </c>
      <c r="D262" t="inlineStr">
        <is>
          <t>2026-06-25</t>
        </is>
      </c>
      <c r="E262" t="inlineStr">
        <is>
          <t>https://www.globalprivatecapital.org/app/uploads/2017/03/Inside-Perspectives-EMPER-Q2-12-web.pdf</t>
        </is>
      </c>
      <c r="F262" t="inlineStr">
        <is>
          <t>CAPE III received about USD 45m from local pension funds; also lists CAPE I, II and III sample investments.</t>
        </is>
      </c>
      <c r="G262" t="inlineStr">
        <is>
          <t>S261</t>
        </is>
      </c>
    </row>
    <row r="263">
      <c r="A263" t="inlineStr">
        <is>
          <t>CAPE IV</t>
        </is>
      </c>
      <c r="B263" t="inlineStr">
        <is>
          <t>GP / industry association press release</t>
        </is>
      </c>
      <c r="C263" t="inlineStr">
        <is>
          <t>African Capital Alliance Closes CAPE IV with US$570m in Capital Commitments</t>
        </is>
      </c>
      <c r="D263" t="inlineStr">
        <is>
          <t>2026-06-25</t>
        </is>
      </c>
      <c r="E263" t="inlineStr">
        <is>
          <t>https://www.globalprivatecapital.org/newsroom/african-capital-alliance-closes-cape-iv-with-us570-m-in-capital-commitments-sub-saharan-africa/</t>
        </is>
      </c>
      <c r="F263" t="inlineStr">
        <is>
          <t>CAPE IV final close; investor base included public and private pension funds, sovereign wealth funds, funds of funds and DFIs.</t>
        </is>
      </c>
      <c r="G263" t="inlineStr">
        <is>
          <t>S262</t>
        </is>
      </c>
    </row>
    <row r="264">
      <c r="A264" t="inlineStr">
        <is>
          <t>CAPE IV</t>
        </is>
      </c>
      <c r="B264" t="inlineStr">
        <is>
          <t>Regulator annual report</t>
        </is>
      </c>
      <c r="C264" t="inlineStr">
        <is>
          <t>National Pension Commission 2020 Annual Report</t>
        </is>
      </c>
      <c r="D264" t="inlineStr">
        <is>
          <t>2026-06-25</t>
        </is>
      </c>
      <c r="E264" t="inlineStr">
        <is>
          <t>https://www.pencom.gov.ng/wp-content/uploads/2021/11/APPROVED-2020-ANNUAL-REPORT.pdf</t>
        </is>
      </c>
      <c r="F264" t="inlineStr">
        <is>
          <t>PenCom reports CPFA private equity investments increased due to capital calls on Capital Alliance Private Equity Fund IV.</t>
        </is>
      </c>
      <c r="G264" t="inlineStr">
        <is>
          <t>S263</t>
        </is>
      </c>
    </row>
    <row r="265">
      <c r="A265" t="inlineStr">
        <is>
          <t>CAPE IV</t>
        </is>
      </c>
      <c r="B265" t="inlineStr">
        <is>
          <t>DFI mobilisation study</t>
        </is>
      </c>
      <c r="C265" t="inlineStr">
        <is>
          <t>BII ? Analysis of mobilisation in four BII-backed funds</t>
        </is>
      </c>
      <c r="D265" t="inlineStr">
        <is>
          <t>2026-06-25</t>
        </is>
      </c>
      <c r="E265" t="inlineStr">
        <is>
          <t>https://assets.bii.co.uk/wp-content/uploads/2024/03/19095026/Analysis-of-mobilisation-in-four-BII-backed-funds.pdf</t>
        </is>
      </c>
      <c r="F265" t="inlineStr">
        <is>
          <t>BII says CAPE IV local-currency-enabled vehicle directly attracted local pension funds and supported domestic capital-market development.</t>
        </is>
      </c>
      <c r="G265" t="inlineStr">
        <is>
          <t>S264</t>
        </is>
      </c>
    </row>
  </sheetData>
  <autoFilter ref="A1:F178"/>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13"/>
  <sheetViews>
    <sheetView zoomScaleNormal="100" workbookViewId="0">
      <pane ySplit="3" topLeftCell="A4" activePane="bottomLeft" state="frozen"/>
      <selection pane="bottomLeft" activeCell="A1" sqref="A1:G1"/>
    </sheetView>
  </sheetViews>
  <sheetFormatPr baseColWidth="8" defaultColWidth="8.7109375" defaultRowHeight="15"/>
  <cols>
    <col width="28" customWidth="1" style="26" min="1" max="1"/>
    <col width="16" customWidth="1" style="26" min="2" max="2"/>
    <col width="14" customWidth="1" style="26" min="3" max="3"/>
    <col width="50" customWidth="1" style="26" min="4" max="4"/>
    <col width="65" customWidth="1" style="26" min="5" max="5"/>
    <col width="30" customWidth="1" style="26" min="6" max="6"/>
    <col width="50" customWidth="1" style="26" min="7" max="7"/>
  </cols>
  <sheetData>
    <row r="1" ht="36" customHeight="1" s="26">
      <c r="A1" s="29" t="inlineStr">
        <is>
          <t>Tier 1 allocators with no disclosed African-alts commitments at fund or deal level — investigation into whether absence reflects regulatory constraint or under-disclosure.</t>
        </is>
      </c>
    </row>
    <row r="3" ht="15" customHeight="1" s="26">
      <c r="A3" s="1" t="inlineStr">
        <is>
          <t>Institution</t>
        </is>
      </c>
      <c r="B3" s="1" t="inlineStr">
        <is>
          <t>Country</t>
        </is>
      </c>
      <c r="C3" s="1" t="inlineStr">
        <is>
          <t>AUM (USD m)</t>
        </is>
      </c>
      <c r="D3" s="1" t="inlineStr">
        <is>
          <t>Asset mix (most recent disclosed)</t>
        </is>
      </c>
      <c r="E3" s="1" t="inlineStr">
        <is>
          <t>Why absent: regulation vs behaviour</t>
        </is>
      </c>
      <c r="F3" s="1" t="inlineStr">
        <is>
          <t>Direction of travel</t>
        </is>
      </c>
      <c r="G3" s="1" t="inlineStr">
        <is>
          <t>Source</t>
        </is>
      </c>
    </row>
    <row r="4" ht="57" customHeight="1" s="26">
      <c r="A4" s="2" t="inlineStr">
        <is>
          <t>NSSF Kenya</t>
        </is>
      </c>
      <c r="B4" s="2" t="inlineStr">
        <is>
          <t>Kenya</t>
        </is>
      </c>
      <c r="C4" s="2" t="n">
        <v>3200</v>
      </c>
      <c r="D4" s="2" t="inlineStr">
        <is>
          <t>67.8% government securities; 14.5% quoted equities; 10.0% immovable property; 2.8% fixed deposits; 1.6% private equity &amp; unlisted securities (KES 5.5bn) — up 597.8% YoY from 0.3% in 2023. Total alts (property + PE + REITs) ≈ 17.5% vs regulatory ceiling of ~70%.</t>
        </is>
      </c>
      <c r="E4" s="2" t="inlineStr">
        <is>
          <t>BEHAVIOUR (with major directional shift). RBA permits up to 10% in PE/VC. NSSF has historically deployed essentially zero in PE; the FY2024 disclosure of a 6-fold jump in unlisted exposure plus a stated MD intention to prioritise PE indicates this is becoming an emerging-allocation story, not a regulatory-block story.</t>
        </is>
      </c>
      <c r="F4" s="2" t="inlineStr">
        <is>
          <t>Active expansion underway</t>
        </is>
      </c>
      <c r="G4" s="2" t="inlineStr">
        <is>
          <t>Cytonn Retirement Benefits Schemes 2024 Performance Note; RBA Industry Brief Dec 2024; NSSF MD David Koros statements 2025–26</t>
        </is>
      </c>
    </row>
    <row r="5" ht="57" customHeight="1" s="26">
      <c r="A5" s="2" t="inlineStr">
        <is>
          <t>POESSA Ethiopia</t>
        </is>
      </c>
      <c r="B5" s="2" t="inlineStr">
        <is>
          <t>Ethiopia</t>
        </is>
      </c>
      <c r="C5" s="2" t="n">
        <v>1500</v>
      </c>
      <c r="D5" s="2" t="inlineStr">
        <is>
          <t>Historical: ~100% government securities (Treasury bills, bonds) by legal mandate. Portfolio of ETB 183bn (~USD 1.5bn). Recent: amendment lifted T-bill / bond restriction; experimental real-estate allocation underway.</t>
        </is>
      </c>
      <c r="E5" s="2" t="inlineStr">
        <is>
          <t>REGULATION (until 2022) → RECENT LIBERALISATION. Until the 2022 amendment of POESSA's establishing proclamation, the agency was statutorily forbidden from investing outside T-bills and government bonds. The amendment now permits real-estate and broader securities; no disclosed PE/VC commitments yet.</t>
        </is>
      </c>
      <c r="F5" s="2" t="inlineStr">
        <is>
          <t>Newly permitted to allocate; ramping up</t>
        </is>
      </c>
      <c r="G5" s="2" t="inlineStr">
        <is>
          <t>The Reporter Ethiopia – Pension Fund Eyes Securities Exchange in Bid to Exercise New Investment Clause; ILO actuarial valuation workshop materials</t>
        </is>
      </c>
    </row>
    <row r="6" ht="45.75" customHeight="1" s="26">
      <c r="A6" s="2" t="inlineStr">
        <is>
          <t>PSSSA / POESSA collectively (Ethiopia)</t>
        </is>
      </c>
      <c r="B6" s="2" t="inlineStr">
        <is>
          <t>Ethiopia</t>
        </is>
      </c>
      <c r="C6" s="2" t="n">
        <v>5000</v>
      </c>
      <c r="D6" s="2" t="inlineStr">
        <is>
          <t>Predominantly government securities and bank deposits; selected SOE stakes via Ethiopian Investment Holdings consolidation.</t>
        </is>
      </c>
      <c r="E6" s="2" t="inlineStr">
        <is>
          <t>REGULATION + STRUCTURAL. Ethiopian capital markets only opened with launch of Ethiopian Securities Exchange (planned). Limited domestic alts opportunity set; foreign-currency convertibility constraints limit pan-African commitments.</t>
        </is>
      </c>
      <c r="F6" s="2" t="inlineStr">
        <is>
          <t>Watch ESE launch + FX reform timeline</t>
        </is>
      </c>
      <c r="G6" s="2" t="inlineStr">
        <is>
          <t>ILO Ethiopia social-protection mapping; PSSSA / POESSA workshop materials</t>
        </is>
      </c>
    </row>
    <row r="7" ht="45.75" customHeight="1" s="26">
      <c r="A7" s="2" t="inlineStr">
        <is>
          <t>PSSSF Tanzania</t>
        </is>
      </c>
      <c r="B7" s="2" t="inlineStr">
        <is>
          <t>Tanzania</t>
        </is>
      </c>
      <c r="C7" s="2" t="n">
        <v>6000</v>
      </c>
      <c r="D7" s="2" t="inlineStr">
        <is>
          <t>DSE-listed equities; government bonds; selected SOE/parastatal direct holdings; no disclosed alts commitments at fund level. Investment guidelines issued by Bank of Tanzania.</t>
        </is>
      </c>
      <c r="E7" s="2" t="inlineStr">
        <is>
          <t>REGULATION (effective). BoT investment guidelines are conservative; private equity is not an explicit permitted category in the same way as listed equities and bonds. PSSSF has Tanzania Agricultural Development Bank (TADB) as a partner but via direct credit rather than as an LP in a fund.</t>
        </is>
      </c>
      <c r="F7" s="2" t="inlineStr">
        <is>
          <t>No active liberalisation signal</t>
        </is>
      </c>
      <c r="G7" s="2" t="inlineStr">
        <is>
          <t>PSSSF investment guidelines (BoT); TADB partnership materials</t>
        </is>
      </c>
    </row>
    <row r="8" ht="23.25" customHeight="1" s="26">
      <c r="A8" s="2" t="inlineStr">
        <is>
          <t>NSSF Tanzania</t>
        </is>
      </c>
      <c r="B8" s="2" t="inlineStr">
        <is>
          <t>Tanzania</t>
        </is>
      </c>
      <c r="C8" s="2" t="n">
        <v>1700</v>
      </c>
      <c r="D8" s="2" t="inlineStr">
        <is>
          <t>Government bonds, listed equities, real estate, fixed deposits. No disclosed PE/VC fund LP exposure.</t>
        </is>
      </c>
      <c r="E8" s="2" t="inlineStr">
        <is>
          <t>REGULATION (effective). Same BoT guideline regime as PSSSF.</t>
        </is>
      </c>
      <c r="F8" s="2" t="inlineStr">
        <is>
          <t>No active liberalisation signal</t>
        </is>
      </c>
      <c r="G8" s="2" t="inlineStr">
        <is>
          <t>PSSSF and NSSF Tanzania annual reports</t>
        </is>
      </c>
    </row>
    <row r="9" ht="57" customHeight="1" s="26">
      <c r="A9" s="2" t="inlineStr">
        <is>
          <t>NOSI / NSSA Egypt</t>
        </is>
      </c>
      <c r="B9" s="2" t="inlineStr">
        <is>
          <t>Egypt</t>
        </is>
      </c>
      <c r="C9" s="2" t="n">
        <v>110000</v>
      </c>
      <c r="D9" s="2" t="inlineStr">
        <is>
          <t>Historically: ~99% in Egyptian government securities and bank deposits transferred to National Investment Bank (NIB). Statutory cap of 1% on capital-market investment.</t>
        </is>
      </c>
      <c r="E9" s="2" t="inlineStr">
        <is>
          <t>REGULATION (severe and active). Egyptian social insurance law obliged NOSI to transfer surpluses to NIB and capped capital-market investment at 1% of insurance funds. The 2019 Unified Social Insurance Law created a unified fund and moved management back to NOSI with a 'professional' investment board, but actual asset reallocation has been gradual.</t>
        </is>
      </c>
      <c r="F9" s="2" t="inlineStr">
        <is>
          <t>Recent governance reform; allocation reform pending</t>
        </is>
      </c>
      <c r="G9" s="2" t="inlineStr">
        <is>
          <t>World Bank Egypt pension reports; Loewe (2024) Social Security in Egypt analysis</t>
        </is>
      </c>
    </row>
    <row r="10" ht="23.25" customHeight="1" s="26">
      <c r="A10" s="2" t="inlineStr">
        <is>
          <t>NIB Egypt (legacy pension assets)</t>
        </is>
      </c>
      <c r="B10" s="2" t="inlineStr">
        <is>
          <t>Egypt</t>
        </is>
      </c>
      <c r="C10" s="2" t="n">
        <v>30000</v>
      </c>
      <c r="D10" s="2" t="inlineStr">
        <is>
          <t>Treasury bills, public-sector deposits; minimal capital-market or alts exposure historically.</t>
        </is>
      </c>
      <c r="E10" s="2" t="inlineStr">
        <is>
          <t>REGULATION (effective). NIB exists in part as the legal recipient of NOSI surpluses; its mandate is government-financing, not alts allocation.</t>
        </is>
      </c>
      <c r="F10" s="2" t="inlineStr">
        <is>
          <t>Structure under reform</t>
        </is>
      </c>
      <c r="G10" s="2" t="inlineStr">
        <is>
          <t>World Bank Egypt pension reports</t>
        </is>
      </c>
    </row>
    <row r="11" ht="23.25" customHeight="1" s="26">
      <c r="A11" s="2" t="inlineStr">
        <is>
          <t>Caisse Nationale de Retraites (Algeria)</t>
        </is>
      </c>
      <c r="B11" s="2" t="inlineStr">
        <is>
          <t>Algeria</t>
        </is>
      </c>
      <c r="C11" s="2" t="n">
        <v>3000</v>
      </c>
      <c r="D11" s="2" t="inlineStr">
        <is>
          <t>Predominantly Algerian government securities and bank deposits.</t>
        </is>
      </c>
      <c r="E11" s="2" t="inlineStr">
        <is>
          <t>REGULATION + MARKET. Algerian capital market is shallow; pension allocation is steered into government financing.</t>
        </is>
      </c>
      <c r="F11" s="2" t="inlineStr">
        <is>
          <t>No active liberalisation signal</t>
        </is>
      </c>
      <c r="G11" s="2" t="inlineStr">
        <is>
          <t>Algerian Ministry of Labour disclosures (limited)</t>
        </is>
      </c>
    </row>
    <row r="12" ht="34.5" customHeight="1" s="26">
      <c r="A12" s="2" t="inlineStr">
        <is>
          <t>Libya Social Security Fund / LIA combined</t>
        </is>
      </c>
      <c r="B12" s="2" t="inlineStr">
        <is>
          <t>Libya</t>
        </is>
      </c>
      <c r="C12" s="2" t="n">
        <v>76000</v>
      </c>
      <c r="D12" s="2" t="inlineStr">
        <is>
          <t>LIA: bulk frozen under sanctions since 2011 (pre-2011 holdings included direct African bank, telecom stakes). SSF: domestic deposits and real estate.</t>
        </is>
      </c>
      <c r="E12" s="2" t="inlineStr">
        <is>
          <t>POLITICAL CONSTRAINT (sanctions on LIA); REGULATION + MARKET (SSF).</t>
        </is>
      </c>
      <c r="F12" s="2" t="inlineStr">
        <is>
          <t>Conflict-affected; reallocation contingent on political resolution</t>
        </is>
      </c>
      <c r="G12" s="2" t="inlineStr">
        <is>
          <t>UN Sanctions Committee disclosures; LIA reports (limited)</t>
        </is>
      </c>
    </row>
    <row r="13" ht="34.5" customHeight="1" s="26">
      <c r="A13" s="2" t="inlineStr">
        <is>
          <t>Sonangol Pension Fund Angola</t>
        </is>
      </c>
      <c r="B13" s="2" t="inlineStr">
        <is>
          <t>Angola</t>
        </is>
      </c>
      <c r="C13" s="2" t="n">
        <v>800</v>
      </c>
      <c r="D13" s="2" t="inlineStr">
        <is>
          <t>Historically dominated by Angolan government securities and Sonangol-affiliated holdings; alts disclosure very limited.</t>
        </is>
      </c>
      <c r="E13" s="2" t="inlineStr">
        <is>
          <t>DISCLOSURE GAP (uncertain). Material AUM but minimal public reporting; unclear whether absence of disclosed alts commitments reflects regulation, behaviour, or simply opacity.</t>
        </is>
      </c>
      <c r="F13" s="2" t="inlineStr">
        <is>
          <t>Warrants follow-up via Angolan insurance regulator (ARSEG)</t>
        </is>
      </c>
      <c r="G13" s="2" t="inlineStr">
        <is>
          <t>ARSEG materials (limited); Sonangol corporate disclosures</t>
        </is>
      </c>
    </row>
  </sheetData>
  <autoFilter ref="A3:G13"/>
  <mergeCells count="1">
    <mergeCell ref="A1:G1"/>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H22"/>
  <sheetViews>
    <sheetView zoomScaleNormal="100" workbookViewId="0">
      <pane ySplit="3" topLeftCell="A4" activePane="bottomLeft" state="frozen"/>
      <selection pane="bottomLeft" activeCell="A1" sqref="A1:H1"/>
    </sheetView>
  </sheetViews>
  <sheetFormatPr baseColWidth="8" defaultColWidth="8.7109375" defaultRowHeight="15"/>
  <cols>
    <col width="38" customWidth="1" style="26" min="1" max="1"/>
    <col width="14" customWidth="1" style="26" min="2" max="2"/>
    <col width="40" customWidth="1" style="26" min="3" max="3"/>
    <col width="30" customWidth="1" style="26" min="4" max="4"/>
    <col width="40" customWidth="1" style="26" min="5" max="5"/>
    <col width="22" customWidth="1" style="26" min="6" max="6"/>
    <col width="60" customWidth="1" style="26" min="7" max="7"/>
    <col width="40" customWidth="1" style="26" min="8" max="8"/>
  </cols>
  <sheetData>
    <row r="1" ht="36" customHeight="1" s="26">
      <c r="A1" s="29" t="inlineStr">
        <is>
          <t>Regulatory ceiling on alternative-asset allocation vs. actual disclosed allocation, top allocator institutions. Gap = headroom unused.</t>
        </is>
      </c>
    </row>
    <row r="3" ht="23.25" customHeight="1" s="26">
      <c r="A3" s="1" t="inlineStr">
        <is>
          <t>Institution</t>
        </is>
      </c>
      <c r="B3" s="1" t="inlineStr">
        <is>
          <t>Country</t>
        </is>
      </c>
      <c r="C3" s="1" t="inlineStr">
        <is>
          <t>Regulator + key regulation</t>
        </is>
      </c>
      <c r="D3" s="1" t="inlineStr">
        <is>
          <t>Permitted PE / alts ceiling (%)</t>
        </is>
      </c>
      <c r="E3" s="1" t="inlineStr">
        <is>
          <t>Actual alts allocation (%, most recent)</t>
        </is>
      </c>
      <c r="F3" s="1" t="inlineStr">
        <is>
          <t>Headroom unused (% points)</t>
        </is>
      </c>
      <c r="G3" s="1" t="inlineStr">
        <is>
          <t>Story</t>
        </is>
      </c>
      <c r="H3" s="1" t="inlineStr">
        <is>
          <t>Source</t>
        </is>
      </c>
    </row>
    <row r="4" ht="23.25" customHeight="1" s="26">
      <c r="A4" s="2" t="inlineStr">
        <is>
          <t>GEPF (managed by PIC)</t>
        </is>
      </c>
      <c r="B4" s="2" t="inlineStr">
        <is>
          <t>South Africa</t>
        </is>
      </c>
      <c r="C4" s="2" t="inlineStr">
        <is>
          <t>FSCA – Regulation 28 (effective Jan 2023)</t>
        </is>
      </c>
      <c r="D4" s="2" t="inlineStr">
        <is>
          <t>15% private equity + 10% hedge funds (separate); 25% property</t>
        </is>
      </c>
      <c r="E4" s="2" t="inlineStr">
        <is>
          <t>~20% across alternatives (PIC discloses ~20% alts overall)</t>
        </is>
      </c>
      <c r="F4" s="2" t="inlineStr">
        <is>
          <t>PE-equivalent ~5pp; SA equity 75% cap</t>
        </is>
      </c>
      <c r="G4" s="2" t="inlineStr">
        <is>
          <t>Headroom for further PE allocation exists post-2023 amendment; PIC has begun major shift toward private markets.</t>
        </is>
      </c>
      <c r="H4" s="2" t="inlineStr">
        <is>
          <t>Treasury Regulation 28 amendment 2022; PIC Corporate Plan 2025/26</t>
        </is>
      </c>
    </row>
    <row r="5" ht="23.25" customHeight="1" s="26">
      <c r="A5" s="2" t="inlineStr">
        <is>
          <t>Other SA Reg-28 pension funds (EPPF, Transnet, Sentinel, umbrellas)</t>
        </is>
      </c>
      <c r="B5" s="2" t="inlineStr">
        <is>
          <t>South Africa</t>
        </is>
      </c>
      <c r="C5" s="2" t="inlineStr">
        <is>
          <t>FSCA – Regulation 28</t>
        </is>
      </c>
      <c r="D5" s="2" t="inlineStr">
        <is>
          <t>15% PE + 10% HF + 25% property</t>
        </is>
      </c>
      <c r="E5" s="2" t="inlineStr">
        <is>
          <t>EPPF ~10% alts (~4% PE); industry average lower</t>
        </is>
      </c>
      <c r="F5" s="2" t="inlineStr">
        <is>
          <t>PE ~11pp</t>
        </is>
      </c>
      <c r="G5" s="2" t="inlineStr">
        <is>
          <t>Industry-wide alts under-allocation relative to 2023 cap; SA pension industry consensus is alts allocation will rise.</t>
        </is>
      </c>
      <c r="H5" s="2" t="inlineStr">
        <is>
          <t>EPPF 2024 disclosures; SAVCA Pension Fund Study 2022; Glacier Insights</t>
        </is>
      </c>
    </row>
    <row r="6" ht="34.5" customHeight="1" s="26">
      <c r="A6" s="2" t="inlineStr">
        <is>
          <t>Nigerian PFAs (CPS, all 19)</t>
        </is>
      </c>
      <c r="B6" s="2" t="inlineStr">
        <is>
          <t>Nigeria</t>
        </is>
      </c>
      <c r="C6" s="2" t="inlineStr">
        <is>
          <t>PenCom – Revised Investment Regulation Sept 2025 + addendum Feb 2026</t>
        </is>
      </c>
      <c r="D6" s="2" t="inlineStr">
        <is>
          <t>PE: 10% (some funds) / 15% (others); infra funds also raised</t>
        </is>
      </c>
      <c r="E6" s="2" t="inlineStr">
        <is>
          <t>Aggregate ~5% in alts across the industry</t>
        </is>
      </c>
      <c r="F6" s="2" t="inlineStr">
        <is>
          <t>PE ~5–10pp</t>
        </is>
      </c>
      <c r="G6" s="2" t="inlineStr">
        <is>
          <t>Sept 2025 doubled PE cap; ARM-Harith ACT Fund (2025) designed with local-currency tranche to bypass FX barrier to further deployment.</t>
        </is>
      </c>
      <c r="H6" s="2" t="inlineStr">
        <is>
          <t>PenCom Revised Regulation 2025; PenCom Q1 2025 Report; Nairametrics 2026 addendum coverage</t>
        </is>
      </c>
    </row>
    <row r="7" ht="34.5" customHeight="1" s="26">
      <c r="A7" s="2" t="inlineStr">
        <is>
          <t>NSSF Uganda</t>
        </is>
      </c>
      <c r="B7" s="2" t="inlineStr">
        <is>
          <t>Uganda</t>
        </is>
      </c>
      <c r="C7" s="2" t="inlineStr">
        <is>
          <t>URBRA Investment Guidelines</t>
        </is>
      </c>
      <c r="D7" s="2" t="inlineStr">
        <is>
          <t>15% PE in EAC; 30% property; 5% other alts</t>
        </is>
      </c>
      <c r="E7" s="2" t="inlineStr">
        <is>
          <t>Long-term targets: 80% fixed income; 13.3% equities; 6.2% real estate. PE allocation small (Yield Uganda Investment Fund)</t>
        </is>
      </c>
      <c r="F7" s="2" t="inlineStr">
        <is>
          <t>PE ~13–14pp</t>
        </is>
      </c>
      <c r="G7" s="2" t="inlineStr">
        <is>
          <t>Stated long-term portfolio target sets only 6.2% real estate; URBRA allows up to 15% PE so significant unused headroom. Yield Uganda is the flagship PE programme but tiny relative to AUM.</t>
        </is>
      </c>
      <c r="H7" s="2" t="inlineStr">
        <is>
          <t>URBRA Investment Guidelines; NSSF Uganda 2024 Annual Integrated Report</t>
        </is>
      </c>
    </row>
    <row r="8" ht="23.25" customHeight="1" s="26">
      <c r="A8" s="2" t="inlineStr">
        <is>
          <t>NSSF Kenya</t>
        </is>
      </c>
      <c r="B8" s="2" t="inlineStr">
        <is>
          <t>Kenya</t>
        </is>
      </c>
      <c r="C8" s="2" t="inlineStr">
        <is>
          <t>RBA – Retirement Benefits Regulations 2000 (as amended)</t>
        </is>
      </c>
      <c r="D8" s="2" t="inlineStr">
        <is>
          <t>10% PE/VC; 70% total alts headroom across categories</t>
        </is>
      </c>
      <c r="E8" s="2" t="inlineStr">
        <is>
          <t>1.6% PE/unlisted (June 2024, up from 0.3% in 2023); 17.5% total alts incl. property</t>
        </is>
      </c>
      <c r="F8" s="2" t="inlineStr">
        <is>
          <t>PE ~8.4pp</t>
        </is>
      </c>
      <c r="G8" s="2" t="inlineStr">
        <is>
          <t>Significant under-allocation but 597.8% YoY growth in PE bucket and explicit MD statement that PE is a 'top priority' for the next phase.</t>
        </is>
      </c>
      <c r="H8" s="2" t="inlineStr">
        <is>
          <t>Cytonn Retirement Schemes 2024; RBA Investment Guidelines; NSSF MD statements</t>
        </is>
      </c>
    </row>
    <row r="9" ht="23.25" customHeight="1" s="26">
      <c r="A9" s="2" t="inlineStr">
        <is>
          <t>Other Kenyan schemes (occupational, umbrella)</t>
        </is>
      </c>
      <c r="B9" s="2" t="inlineStr">
        <is>
          <t>Kenya</t>
        </is>
      </c>
      <c r="C9" s="2" t="inlineStr">
        <is>
          <t>RBA</t>
        </is>
      </c>
      <c r="D9" s="2" t="inlineStr">
        <is>
          <t>10% PE/VC</t>
        </is>
      </c>
      <c r="E9" s="2" t="inlineStr">
        <is>
          <t>Mostly &lt;1% PE; aggregate Kenyan industry ~0.5–1% PE</t>
        </is>
      </c>
      <c r="F9" s="2" t="inlineStr">
        <is>
          <t>PE ~9pp</t>
        </is>
      </c>
      <c r="G9" s="2" t="inlineStr">
        <is>
          <t>Industry-wide under-utilisation of PE cap; few schemes have made commitments.</t>
        </is>
      </c>
      <c r="H9" s="2" t="inlineStr">
        <is>
          <t>RBA Industry Reports; Cytonn</t>
        </is>
      </c>
    </row>
    <row r="10" ht="45.75" customHeight="1" s="26">
      <c r="A10" s="2" t="inlineStr">
        <is>
          <t>SSNIT Ghana</t>
        </is>
      </c>
      <c r="B10" s="2" t="inlineStr">
        <is>
          <t>Ghana</t>
        </is>
      </c>
      <c r="C10" s="2" t="inlineStr">
        <is>
          <t>NPRA – Guidelines on Investment of Pension Scheme Funds</t>
        </is>
      </c>
      <c r="D10" s="2" t="inlineStr">
        <is>
          <t>10% per AI sub-asset class; 5% to open/closed-end funds</t>
        </is>
      </c>
      <c r="E10" s="2" t="inlineStr">
        <is>
          <t>34% in 'alternatives' (real estate + PE + direct) as of 2023; rebalancing toward fixed income in 2024</t>
        </is>
      </c>
      <c r="F10" s="2" t="inlineStr">
        <is>
          <t>Currently over the per-sub-class cap due to legacy concentration; reducing</t>
        </is>
      </c>
      <c r="G10" s="2" t="inlineStr">
        <is>
          <t>Counterexample case: Ghanaian SSNIT exceeded prudential targets through legacy property/direct holdings and is now reducing alts toward target, opposite direction to most peers.</t>
        </is>
      </c>
      <c r="H10" s="2" t="inlineStr">
        <is>
          <t>SSNIT 2022 Annual Report; B&amp;FT 2024 reporting on SSNIT strategy shift</t>
        </is>
      </c>
    </row>
    <row r="11" ht="15" customHeight="1" s="26">
      <c r="A11" s="2" t="inlineStr">
        <is>
          <t>Ghana Tier 2/3 schemes (corporate trustees)</t>
        </is>
      </c>
      <c r="B11" s="2" t="inlineStr">
        <is>
          <t>Ghana</t>
        </is>
      </c>
      <c r="C11" s="2" t="inlineStr">
        <is>
          <t>NPRA</t>
        </is>
      </c>
      <c r="D11" s="2" t="inlineStr">
        <is>
          <t>10% per AI sub-asset class</t>
        </is>
      </c>
      <c r="E11" s="2" t="inlineStr">
        <is>
          <t>Aggregate ~5–8% in alts</t>
        </is>
      </c>
      <c r="F11" s="2" t="inlineStr">
        <is>
          <t>~2–5pp</t>
        </is>
      </c>
      <c r="G11" s="2" t="inlineStr">
        <is>
          <t>Slowly increasing alts allocation; constrained by domestic alts pipeline.</t>
        </is>
      </c>
      <c r="H11" s="2" t="inlineStr">
        <is>
          <t>NPRA Investment Guidelines; news reports</t>
        </is>
      </c>
    </row>
    <row r="12" ht="34.5" customHeight="1" s="26">
      <c r="A12" s="2" t="inlineStr">
        <is>
          <t>BPOPF Botswana</t>
        </is>
      </c>
      <c r="B12" s="2" t="inlineStr">
        <is>
          <t>Botswana</t>
        </is>
      </c>
      <c r="C12" s="2" t="inlineStr">
        <is>
          <t>NBFIRA – PFR2 (Pension Fund Investment Rules)</t>
        </is>
      </c>
      <c r="D12" s="2" t="inlineStr">
        <is>
          <t>15% VC/PE (10% main + 5% offshore/local split); 50% min. domestic by Dec 2027</t>
        </is>
      </c>
      <c r="E12" s="2" t="inlineStr">
        <is>
          <t>~10% alts target / ~7–8% actual deployment</t>
        </is>
      </c>
      <c r="F12" s="2" t="inlineStr">
        <is>
          <t>PE ~5–7pp</t>
        </is>
      </c>
      <c r="G12" s="2" t="inlineStr">
        <is>
          <t>Active alts programme via incubation funds (Aleyo, Africa Lighthouse) plus mandates with Vantage and others; on track to fully use cap.</t>
        </is>
      </c>
      <c r="H12" s="2" t="inlineStr">
        <is>
          <t>NBFIRA PFR2 2023; SAVCA-FSDA 2022 study; BPOPF 2024 disclosures</t>
        </is>
      </c>
    </row>
    <row r="13" ht="23.25" customHeight="1" s="26">
      <c r="A13" s="2" t="inlineStr">
        <is>
          <t>Other Botswana pension funds</t>
        </is>
      </c>
      <c r="B13" s="2" t="inlineStr">
        <is>
          <t>Botswana</t>
        </is>
      </c>
      <c r="C13" s="2" t="inlineStr">
        <is>
          <t>NBFIRA – PFR2</t>
        </is>
      </c>
      <c r="D13" s="2" t="inlineStr">
        <is>
          <t>15% VC/PE</t>
        </is>
      </c>
      <c r="E13" s="2" t="inlineStr">
        <is>
          <t>Aggregate ~5–8%</t>
        </is>
      </c>
      <c r="F13" s="2" t="inlineStr">
        <is>
          <t>PE ~7–10pp</t>
        </is>
      </c>
      <c r="G13" s="2" t="inlineStr">
        <is>
          <t>Industry mostly below cap; BPOPF leads sectoral practice.</t>
        </is>
      </c>
      <c r="H13" s="2" t="inlineStr">
        <is>
          <t>World Bank Botswana Financial Markets Diagnostic 2025</t>
        </is>
      </c>
    </row>
    <row r="14" ht="57" customHeight="1" s="26">
      <c r="A14" s="2" t="inlineStr">
        <is>
          <t>GIPF Namibia</t>
        </is>
      </c>
      <c r="B14" s="2" t="inlineStr">
        <is>
          <t>Namibia</t>
        </is>
      </c>
      <c r="C14" s="2" t="inlineStr">
        <is>
          <t>NAMFISA – Pension Funds Act Regulation 28/29</t>
        </is>
      </c>
      <c r="D14" s="2" t="inlineStr">
        <is>
          <t>Regulation 28 requires 35% min. in Namibian assets, max 3.5% via unlisted SPV vehicles. GIPF target: 10% PE + 5% RE (per its Unlisted Investment Policy).</t>
        </is>
      </c>
      <c r="E14" s="2" t="inlineStr">
        <is>
          <t>~15% in alts (N$24.9bn committed of ~N$165bn AUM); 41 named managers</t>
        </is>
      </c>
      <c r="F14" s="2" t="inlineStr">
        <is>
          <t>At or near target; possibly above Reg 28 SPV cap depending on interpretation</t>
        </is>
      </c>
      <c r="G14" s="2" t="inlineStr">
        <is>
          <t>Namibia uniquely *mandates* unlisted exposure; GIPF is the most alts-deployed African pension fund. Regulatory interpretation of the 3.5% SPV cap vs direct unlisted is worth verifying for academic accuracy.</t>
        </is>
      </c>
      <c r="H14" s="2" t="inlineStr">
        <is>
          <t>GIPF Unlisted Investments disclosure; NAMFISA Reg 28/29; Old Mutual Namibia 2023 commentary</t>
        </is>
      </c>
    </row>
    <row r="15" ht="23.25" customHeight="1" s="26">
      <c r="A15" s="2" t="inlineStr">
        <is>
          <t>Other Namibian pension funds (incl. umbrella)</t>
        </is>
      </c>
      <c r="B15" s="2" t="inlineStr">
        <is>
          <t>Namibia</t>
        </is>
      </c>
      <c r="C15" s="2" t="inlineStr">
        <is>
          <t>NAMFISA – Reg 28/29</t>
        </is>
      </c>
      <c r="D15" s="2" t="inlineStr">
        <is>
          <t>Mandated minimum domestic unlisted; max 3.5% via SPV</t>
        </is>
      </c>
      <c r="E15" s="2" t="inlineStr">
        <is>
          <t>Most schemes meet minimum; not all reach GIPF levels</t>
        </is>
      </c>
      <c r="F15" s="2" t="inlineStr">
        <is>
          <t>Marginal</t>
        </is>
      </c>
      <c r="G15" s="2" t="inlineStr">
        <is>
          <t>Mandatory unlisted regime gives Namibia structurally higher local-alts allocation than any other African market.</t>
        </is>
      </c>
      <c r="H15" s="2" t="inlineStr">
        <is>
          <t>NAMFISA Regulation 28 and 29 materials</t>
        </is>
      </c>
    </row>
    <row r="16" ht="34.5" customHeight="1" s="26">
      <c r="A16" s="2" t="inlineStr">
        <is>
          <t>CDG Morocco / CMR / RCAR / CNSS Morocco</t>
        </is>
      </c>
      <c r="B16" s="2" t="inlineStr">
        <is>
          <t>Morocco</t>
        </is>
      </c>
      <c r="C16" s="2" t="inlineStr">
        <is>
          <t>ACAPS supervision; sectoral investment rules per regime</t>
        </is>
      </c>
      <c r="D16" s="2" t="inlineStr">
        <is>
          <t>Caps vary by regime; not a single percentage. Insurance-style rules apply to complementary regimes.</t>
        </is>
      </c>
      <c r="E16" s="2" t="inlineStr">
        <is>
          <t>CDG: significant alts via subsidiaries (CDG Invest, CDG Capital, InfraMaroc, CapMezzanine III)</t>
        </is>
      </c>
      <c r="F16" s="2" t="inlineStr">
        <is>
          <t>Variable</t>
        </is>
      </c>
      <c r="G16" s="2" t="inlineStr">
        <is>
          <t>Moroccan pension reform has progressively widened permissible asset universe; CDG is by far the most alts-active Moroccan allocator and increasingly anchors Moroccan and pan-African PE funds.</t>
        </is>
      </c>
      <c r="H16" s="2" t="inlineStr">
        <is>
          <t>ACAPS materials; CDG Group annual reports; AMMC fund register</t>
        </is>
      </c>
    </row>
    <row r="17" ht="34.5" customHeight="1" s="26">
      <c r="A17" s="2" t="inlineStr">
        <is>
          <t>NOSI / NSSA Egypt</t>
        </is>
      </c>
      <c r="B17" s="2" t="inlineStr">
        <is>
          <t>Egypt</t>
        </is>
      </c>
      <c r="C17" s="2" t="inlineStr">
        <is>
          <t>FRA + Social Insurance Law; 2019 reform</t>
        </is>
      </c>
      <c r="D17" s="2" t="inlineStr">
        <is>
          <t>Historical cap of 1% on capital-market investment; surplus mandatorily transferred to NIB</t>
        </is>
      </c>
      <c r="E17" s="2" t="inlineStr">
        <is>
          <t>&lt;1% in any alts category historically</t>
        </is>
      </c>
      <c r="F17" s="2" t="inlineStr">
        <is>
          <t>Effectively zero — extreme regulatory constraint</t>
        </is>
      </c>
      <c r="G17" s="2" t="inlineStr">
        <is>
          <t>Most-constrained large African pension pool. 2019 unified law theoretically permits broader investment but actual reallocation has been gradual.</t>
        </is>
      </c>
      <c r="H17" s="2" t="inlineStr">
        <is>
          <t>Loewe (2024) Social Security in Egypt; IBM NOSI case study</t>
        </is>
      </c>
    </row>
    <row r="18" ht="45.75" customHeight="1" s="26">
      <c r="A18" s="2" t="inlineStr">
        <is>
          <t>NSIA Nigeria (SWF)</t>
        </is>
      </c>
      <c r="B18" s="2" t="inlineStr">
        <is>
          <t>Nigeria</t>
        </is>
      </c>
      <c r="C18" s="2" t="inlineStr">
        <is>
          <t>NSIA Act 2011 + Board policy</t>
        </is>
      </c>
      <c r="D18" s="2" t="inlineStr">
        <is>
          <t>Three sub-funds with distinct mandates; Stabilisation must be in highly-liquid; NIF can deploy directly to alts.</t>
        </is>
      </c>
      <c r="E18" s="2" t="inlineStr">
        <is>
          <t>Active alts via NIF: PPP equity, agribusiness, healthcare direct deals + selected PE LP positions</t>
        </is>
      </c>
      <c r="F18" s="2" t="inlineStr">
        <is>
          <t>n/a — uses NIF mandate fully</t>
        </is>
      </c>
      <c r="G18" s="2" t="inlineStr">
        <is>
          <t>Statutorily structured to permit aggressive direct deployment via NIF.</t>
        </is>
      </c>
      <c r="H18" s="2" t="inlineStr">
        <is>
          <t>NSIA Act 2011; NSIA annual reports</t>
        </is>
      </c>
    </row>
    <row r="19" ht="34.5" customHeight="1" s="26">
      <c r="A19" s="2" t="inlineStr">
        <is>
          <t>TSFE Egypt (SWF)</t>
        </is>
      </c>
      <c r="B19" s="2" t="inlineStr">
        <is>
          <t>Egypt</t>
        </is>
      </c>
      <c r="C19" s="2" t="inlineStr">
        <is>
          <t>TSFE Law (2018, amended)</t>
        </is>
      </c>
      <c r="D19" s="2" t="inlineStr">
        <is>
          <t>Statutorily permitted to invest in domestic assets including direct equity and platform JVs</t>
        </is>
      </c>
      <c r="E19" s="2" t="inlineStr">
        <is>
          <t>Active: 4 sub-funds; healthcare, financial services, real estate/tourism, infra/utilities platforms with Gulf SWF co-invest</t>
        </is>
      </c>
      <c r="F19" s="2" t="inlineStr">
        <is>
          <t>n/a</t>
        </is>
      </c>
      <c r="G19" s="2" t="inlineStr">
        <is>
          <t>Operates under separate SWF law not subject to NOSI restrictions; functions as Egypt's on-ground alts vehicle.</t>
        </is>
      </c>
      <c r="H19" s="2" t="inlineStr">
        <is>
          <t>TSFE Law 177/2018; TSFE Annual Reports</t>
        </is>
      </c>
    </row>
    <row r="20" ht="23.25" customHeight="1" s="26">
      <c r="A20" s="2" t="inlineStr">
        <is>
          <t>FSDEA Angola (SWF)</t>
        </is>
      </c>
      <c r="B20" s="2" t="inlineStr">
        <is>
          <t>Angola</t>
        </is>
      </c>
      <c r="C20" s="2" t="inlineStr">
        <is>
          <t>FSDEA establishing law; Santiago Principles framework</t>
        </is>
      </c>
      <c r="D20" s="2" t="inlineStr">
        <is>
          <t>Permitted across global and African alts within investment policy</t>
        </is>
      </c>
      <c r="E20" s="2" t="inlineStr">
        <is>
          <t>Diversified portfolio incl. PE funds; Gemcorp infra fund anchor; Lobito Corridor</t>
        </is>
      </c>
      <c r="F20" s="2" t="inlineStr">
        <is>
          <t>n/a</t>
        </is>
      </c>
      <c r="G20" s="2" t="inlineStr">
        <is>
          <t>Post-2018 reset toward more conventional investment policy; IFSWF-assessed under Santiago Principles.</t>
        </is>
      </c>
      <c r="H20" s="2" t="inlineStr">
        <is>
          <t>FSDEA Annual Reports; IFSWF 2022 assessment</t>
        </is>
      </c>
    </row>
    <row r="21" ht="34.5" customHeight="1" s="26">
      <c r="A21" s="2" t="inlineStr">
        <is>
          <t>FONSIS Senegal (SWF)</t>
        </is>
      </c>
      <c r="B21" s="2" t="inlineStr">
        <is>
          <t>Senegal</t>
        </is>
      </c>
      <c r="C21" s="2" t="inlineStr">
        <is>
          <t>FONSIS Law 2012; OHADA company law</t>
        </is>
      </c>
      <c r="D21" s="2" t="inlineStr">
        <is>
          <t>Permitted to invest in strategic projects including PE fund LP positions</t>
        </is>
      </c>
      <c r="E21" s="2" t="inlineStr">
        <is>
          <t>Active: Oyass Capital LP (€82m fund); direct strategic equity portfolio</t>
        </is>
      </c>
      <c r="F21" s="2" t="inlineStr">
        <is>
          <t>n/a</t>
        </is>
      </c>
      <c r="G21" s="2" t="inlineStr">
        <is>
          <t>Sectoral strategic mandate; co-invests with DFIs and pan-African PE.</t>
        </is>
      </c>
      <c r="H21" s="2" t="inlineStr">
        <is>
          <t>FONSIS Law 2012; FONSIS press releases 2024</t>
        </is>
      </c>
    </row>
    <row r="22" ht="68.25" customHeight="1" s="26">
      <c r="A22" s="2" t="inlineStr">
        <is>
          <t>Ghana Tier 2/3 schemes — UPDATED (post-2026 5% rule)</t>
        </is>
      </c>
      <c r="B22" s="2" t="inlineStr">
        <is>
          <t>Ghana</t>
        </is>
      </c>
      <c r="C22" s="2" t="inlineStr">
        <is>
          <t>NPRA – Investment Guidelines (with 2026 'minimum 5% in alternative assets' policy)</t>
        </is>
      </c>
      <c r="D22" s="2" t="inlineStr">
        <is>
          <t>Minimum 5% in alts (newly mandated)</t>
        </is>
      </c>
      <c r="E22" s="2" t="inlineStr">
        <is>
          <t>Trustees beginning to deploy: Axis → GIP (USD 5m, Apr 2026); Axis + Enterprise → Ci Gaba FoF first close (Mar 2026, ~USD 35m total; Ghanaian pensions &gt;2/3)</t>
        </is>
      </c>
      <c r="F22" s="2" t="inlineStr">
        <is>
          <t>Building toward 5% minimum</t>
        </is>
      </c>
      <c r="G22" s="2" t="inlineStr">
        <is>
          <t>Ghana has moved from permissive-only to MANDATED-MINIMUM alts allocation. Early commitments via Ci Gaba FoF (West Africa's first domestic-domiciled FoF) and GIP (BII platform with local-currency tranche) demonstrate that the policy is producing real flows. This is the most policy-design-relevant African case after Namibia's mandated-unlisted regime.</t>
        </is>
      </c>
      <c r="H22" s="2" t="inlineStr">
        <is>
          <t>BII GIP announcement April 2026; WeeTracker Ci Gaba coverage March 2026; Ecofin Agency</t>
        </is>
      </c>
    </row>
  </sheetData>
  <autoFilter ref="A3:H22"/>
  <mergeCells count="1">
    <mergeCell ref="A1:H1"/>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33"/>
  <sheetViews>
    <sheetView topLeftCell="A14" zoomScaleNormal="100" workbookViewId="0">
      <selection activeCell="A1" sqref="A1:F1"/>
    </sheetView>
  </sheetViews>
  <sheetFormatPr baseColWidth="8" defaultColWidth="8.7109375" defaultRowHeight="15"/>
  <cols>
    <col width="55" customWidth="1" style="26" min="1" max="1"/>
    <col width="32" customWidth="1" style="26" min="2" max="2"/>
    <col width="18" customWidth="1" style="26" min="3" max="3"/>
    <col width="14" customWidth="1" style="26" min="4" max="4"/>
    <col width="28" customWidth="1" style="26" min="5" max="5"/>
    <col width="18" customWidth="1" style="26" min="6" max="6"/>
  </cols>
  <sheetData>
    <row r="1" ht="21.75" customHeight="1" s="26">
      <c r="A1" s="29" t="inlineStr">
        <is>
          <t>AVCA aggregate African-LP capital flow into African private capital vs. allocator-fund pairs disclosed in this database.</t>
        </is>
      </c>
    </row>
    <row r="3" ht="15" customHeight="1" s="26">
      <c r="A3" s="8" t="inlineStr">
        <is>
          <t>Aggregate African-investor commitments to African private capital (per AVCA APCA Reports)</t>
        </is>
      </c>
    </row>
    <row r="5" ht="23.25" customHeight="1" s="26">
      <c r="A5" s="1" t="inlineStr">
        <is>
          <t>Year</t>
        </is>
      </c>
      <c r="B5" s="1" t="inlineStr">
        <is>
          <t>Total African PE/VC/Infra fundraising (USD m)</t>
        </is>
      </c>
      <c r="C5" s="1" t="inlineStr">
        <is>
          <t>DFI contribution (USD m)</t>
        </is>
      </c>
      <c r="D5" s="1" t="inlineStr">
        <is>
          <t>DFI share (%)</t>
        </is>
      </c>
      <c r="E5" s="1" t="inlineStr">
        <is>
          <t>African investor contribution (USD m)</t>
        </is>
      </c>
      <c r="F5" s="1" t="inlineStr">
        <is>
          <t>African investor share (%)</t>
        </is>
      </c>
    </row>
    <row r="6" ht="15" customHeight="1" s="26">
      <c r="A6" s="2" t="inlineStr">
        <is>
          <t>2022</t>
        </is>
      </c>
      <c r="B6" s="9" t="n">
        <v>1200</v>
      </c>
      <c r="C6" s="9" t="n">
        <v>708</v>
      </c>
      <c r="D6" s="10" t="n">
        <v>0.59</v>
      </c>
      <c r="E6" s="9" t="n">
        <v>171</v>
      </c>
      <c r="F6" s="10" t="n">
        <v>0.14</v>
      </c>
    </row>
    <row r="7" ht="15" customHeight="1" s="26">
      <c r="A7" s="2" t="inlineStr">
        <is>
          <t>2023</t>
        </is>
      </c>
      <c r="B7" s="2" t="inlineStr">
        <is>
          <t>Not separately disclosed</t>
        </is>
      </c>
      <c r="C7" s="2" t="inlineStr">
        <is>
          <t>—</t>
        </is>
      </c>
      <c r="D7" s="2" t="inlineStr">
        <is>
          <t>—</t>
        </is>
      </c>
      <c r="E7" s="2" t="inlineStr">
        <is>
          <t>—</t>
        </is>
      </c>
      <c r="F7" s="2" t="inlineStr">
        <is>
          <t>—</t>
        </is>
      </c>
    </row>
    <row r="8" ht="15" customHeight="1" s="26">
      <c r="A8" s="2" t="inlineStr">
        <is>
          <t>2024</t>
        </is>
      </c>
      <c r="B8" s="9" t="n">
        <v>4000</v>
      </c>
      <c r="C8" s="9" t="n">
        <v>1400</v>
      </c>
      <c r="D8" s="10" t="n">
        <v>0.42</v>
      </c>
      <c r="E8" s="9" t="n">
        <v>639</v>
      </c>
      <c r="F8" s="10" t="n">
        <v>0.19</v>
      </c>
    </row>
    <row r="11" ht="15" customHeight="1" s="26">
      <c r="A11" s="8" t="inlineStr">
        <is>
          <t>The disclosure gap, quantified</t>
        </is>
      </c>
    </row>
    <row r="12" ht="15" customHeight="1" s="26">
      <c r="A12" s="1" t="inlineStr">
        <is>
          <t>Metric</t>
        </is>
      </c>
      <c r="B12" s="1" t="inlineStr">
        <is>
          <t>2024 figure</t>
        </is>
      </c>
      <c r="C12" s="1" t="inlineStr">
        <is>
          <t>Notes</t>
        </is>
      </c>
    </row>
    <row r="13" ht="34.5" customHeight="1" s="26">
      <c r="A13" s="2" t="inlineStr">
        <is>
          <t>AVCA aggregate African-investor capital into African PE/VC/Infra (2024 only)</t>
        </is>
      </c>
      <c r="B13" s="2" t="inlineStr">
        <is>
          <t>USD 639m</t>
        </is>
      </c>
      <c r="C13" s="2" t="inlineStr">
        <is>
          <t>African pension funds + insurers + corporates combined</t>
        </is>
      </c>
    </row>
    <row r="14" ht="68.25" customHeight="1" s="26">
      <c r="A14" s="2" t="inlineStr">
        <is>
          <t>Of which: catalogued in this database as 2024-vintage allocator-fund pairs (REVISED Phase 4-6)</t>
        </is>
      </c>
      <c r="B14" s="2" t="inlineStr">
        <is>
          <t>~USD 200m (range USD 150–280m)</t>
        </is>
      </c>
      <c r="C14" s="2" t="inlineStr">
        <is>
          <t>Substantially revised upward from Phase 3 estimate (USD 100–150m) following Phases 4-6 DFI-platform-anchored search. See breakdown below.</t>
        </is>
      </c>
    </row>
    <row r="15" ht="79.5" customHeight="1" s="26">
      <c r="A15" s="2" t="inlineStr">
        <is>
          <t>Implied 'untraceable' share of 2024 African-LP capital (REVISED)</t>
        </is>
      </c>
      <c r="B15" s="2" t="inlineStr">
        <is>
          <t>~55–70% (was ~75–85% in Phase 3 estimate)</t>
        </is>
      </c>
      <c r="C15" s="2" t="inlineStr">
        <is>
          <t>Phase 4-6 closed a meaningful share of the gap by identifying the Africa50-IAF and Adenia V LP rosters. The residual gap is structural — pan-African flagship PE funds (ADP IV, Catalyst II, Vantage IV, Helios CLEAR) still report African pension LPs only categorically.</t>
        </is>
      </c>
    </row>
    <row r="16" ht="45.75" customHeight="1" s="26">
      <c r="A16" s="2" t="inlineStr">
        <is>
          <t>Cumulative AVCA-tracked African-LP growth 2022 → 2024</t>
        </is>
      </c>
      <c r="B16" s="2" t="inlineStr">
        <is>
          <t>3.7x (USD 171m → USD 639m)</t>
        </is>
      </c>
      <c r="C16" s="2" t="inlineStr">
        <is>
          <t>Local capital share of total African PE/VC fundraising rose from 14% to 19%</t>
        </is>
      </c>
    </row>
    <row r="17" ht="15" customHeight="1" s="26">
      <c r="A17" s="28" t="n"/>
      <c r="B17" s="28" t="n"/>
      <c r="C17" s="28" t="n"/>
    </row>
    <row r="18" ht="23.25" customHeight="1" s="26">
      <c r="A18" s="11" t="inlineStr">
        <is>
          <t>Breakdown of 2024-vintage traceable commitments (PE/VC/Infra fund LP only)</t>
        </is>
      </c>
      <c r="B18" s="11" t="n"/>
      <c r="C18" s="11" t="n"/>
    </row>
    <row r="19" ht="15" customHeight="1" s="26">
      <c r="A19" s="2" t="inlineStr">
        <is>
          <t>Africa50 Infrastructure Acceleration Fund (IAF) — 2024 first close</t>
        </is>
      </c>
      <c r="B19" s="2" t="inlineStr">
        <is>
          <t>USD 222.5m total; ~USD 80–150m African PF/SWF share</t>
        </is>
      </c>
      <c r="C19" s="2" t="inlineStr">
        <is>
          <t>Named African LPs: NSIA Nigeria, CDC Sénégal, CDC Benin, CNSS Togo, CDG Invest Morocco. Press release said 'primarily from African institutional investors'.</t>
        </is>
      </c>
    </row>
    <row r="20" ht="120" customHeight="1" s="26">
      <c r="A20" s="12" t="inlineStr">
        <is>
          <t>Adenia Capital V — April 2024 hard cap close ($470m)</t>
        </is>
      </c>
      <c r="B20" s="2" t="inlineStr">
        <is>
          <t>~USD 30-80m African PF share</t>
        </is>
      </c>
      <c r="C20" s="2" t="inlineStr">
        <is>
          <t>Named LP: PIC SA (size not disclosed). Categorical 'Kenyan pension funds' and 'Ghanaian pension funds' cohorts (individual schemes not named).</t>
        </is>
      </c>
    </row>
    <row r="21" ht="34.5" customHeight="1" s="26">
      <c r="A21" s="2" t="inlineStr">
        <is>
          <t>FONSIS → Oyass Capital — January 2024</t>
        </is>
      </c>
      <c r="B21" s="2" t="inlineStr">
        <is>
          <t>~USD 20–40m FONSIS share (of XOF 50bn / ~USD 82m fund)</t>
        </is>
      </c>
      <c r="C21" s="2" t="inlineStr">
        <is>
          <t>FONSIS co-anchor alongside KfW; SEAF as manager.</t>
        </is>
      </c>
    </row>
    <row r="22" ht="68.25" customHeight="1" s="26">
      <c r="A22" s="2" t="inlineStr">
        <is>
          <t>Smaller 2024-vintage continental equity additions</t>
        </is>
      </c>
      <c r="B22" s="2" t="inlineStr">
        <is>
          <t>~USD 10–30m</t>
        </is>
      </c>
      <c r="C22" s="2" t="inlineStr">
        <is>
          <t>Government of Egypt AFC equity (2024); incremental AFC equity allocations from existing shareholders.</t>
        </is>
      </c>
    </row>
    <row r="23" ht="45.75" customHeight="1" s="26">
      <c r="A23" s="2" t="inlineStr">
        <is>
          <t>Sahel Agribusiness Private Debt Fund — 2024 launched</t>
        </is>
      </c>
      <c r="B23" s="2" t="inlineStr">
        <is>
          <t>Eligibility open; specific PFA commitments not yet disclosed</t>
        </is>
      </c>
      <c r="C23" s="2" t="inlineStr">
        <is>
          <t>NGN 75bn / ~USD 55.4m target; Stanbic IBTC in partner consortium.</t>
        </is>
      </c>
    </row>
    <row r="24" ht="45.75" customHeight="1" s="26">
      <c r="A24" s="11" t="inlineStr">
        <is>
          <t>TOTAL traceable 2024-vintage African PF/SWF commitments</t>
        </is>
      </c>
      <c r="B24" s="11" t="inlineStr">
        <is>
          <t>~USD 130–280m (mid ~USD 200m)</t>
        </is>
      </c>
      <c r="C24" s="11" t="inlineStr">
        <is>
          <t>Of AVCA-aggregate USD 639m for 2024 African-investor PE/VC/Infra capital.</t>
        </is>
      </c>
    </row>
    <row r="25" ht="15" customHeight="1" s="26">
      <c r="A25" s="28" t="n"/>
      <c r="B25" s="28" t="n"/>
      <c r="C25" s="28" t="n"/>
    </row>
    <row r="26" ht="15" customHeight="1" s="26">
      <c r="A26" s="11" t="inlineStr">
        <is>
          <t>Cumulative across ALL vintages (not just 2024)</t>
        </is>
      </c>
      <c r="B26" s="11" t="n"/>
      <c r="C26" s="11" t="n"/>
    </row>
    <row r="27" ht="45.75" customHeight="1" s="26">
      <c r="A27" s="2" t="inlineStr">
        <is>
          <t>Total named allocator-fund pairs catalogued in this database</t>
        </is>
      </c>
      <c r="B27" s="2" t="inlineStr">
        <is>
          <t>86 commitments</t>
        </is>
      </c>
      <c r="C27" s="2" t="inlineStr">
        <is>
          <t>Across all vintages 2014-2026; ~30 unique African PF/SWF allocators.</t>
        </is>
      </c>
    </row>
    <row r="28" ht="68.25" customHeight="1" s="26">
      <c r="A28" s="2" t="inlineStr">
        <is>
          <t>vs. Phase 2 baseline (initial allocator-side search)</t>
        </is>
      </c>
      <c r="B28" s="2" t="inlineStr">
        <is>
          <t>27 commitments</t>
        </is>
      </c>
      <c r="C28" s="2" t="inlineStr">
        <is>
          <t>Phase 2 evidence harvest was anchored on allocator-side and marquee-GP-side search.</t>
        </is>
      </c>
    </row>
    <row r="29" ht="135.75" customHeight="1" s="26">
      <c r="A29" s="2" t="inlineStr">
        <is>
          <t>Improvement factor</t>
        </is>
      </c>
      <c r="B29" s="2" t="inlineStr">
        <is>
          <t>~3.2x</t>
        </is>
      </c>
      <c r="C29" s="2" t="inlineStr">
        <is>
          <t>DFI-platform-anchored search (Phases 4-6) tripled the named-LP coverage. The remaining gap is concentrated in pan-African flagship PE fund LP rosters where pension LPs appear only as categorical cohorts.</t>
        </is>
      </c>
    </row>
    <row r="32" ht="15" customHeight="1" s="26">
      <c r="A32" s="8" t="inlineStr">
        <is>
          <t>Interpretation</t>
        </is>
      </c>
    </row>
    <row r="33" ht="150" customHeight="1" s="26">
      <c r="A33" s="28" t="inlineStr">
        <is>
          <t>The AVCA aggregate confirms that African institutional capital flowing into local private capital has more than tripled in two years, and now constitutes 19% of all African private-capital fundraising. Following Phases 4-6 of this research (DFI-platform-anchored search), approximately 30-40% of the 2024 African-LP aggregate (USD 130-280m of USD 639m) is traceable to specific allocator-fund pairs in publicly available sources. This is materially better than the Phase 3 estimate of 15-25%, but the residual gap of 60-70% is structural. The remaining untraceable capital appears in two places: (a) pan-African flagship PE funds (Adenia V, ADP IV, Helios CLEAR, Phatisa FF3, Vantage IV) where African pension LPs are reported only as categorical cohorts; (b) commitments flowing through asset managers and umbrella vehicles where the ultimate asset owner is not separately disclosed. For academic publication this disclosure asymmetry is itself the principal methodological note — and the question of what disclosure regime would close it remains the principal policy contribution.</t>
        </is>
      </c>
    </row>
  </sheetData>
  <mergeCells count="1">
    <mergeCell ref="A1:F1"/>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2026-05-13T13:10:39Z</dcterms:created>
  <dcterms:modified xmlns:dcterms="http://purl.org/dc/terms/" xmlns:xsi="http://www.w3.org/2001/XMLSchema-instance" xsi:type="dcterms:W3CDTF">2026-06-25T13:09:03Z</dcterms:modified>
  <cp:lastModifiedBy>Matt Guttentag</cp:lastModifiedBy>
  <cp:revision>0</cp:revision>
</cp:coreProperties>
</file>