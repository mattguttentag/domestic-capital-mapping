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Source Library" sheetId="11" state="visible" r:id="rId11"/>
    <sheet xmlns:r="http://schemas.openxmlformats.org/officeDocument/2006/relationships" name="Absentees Investigation" sheetId="12" state="visible" r:id="rId12"/>
    <sheet xmlns:r="http://schemas.openxmlformats.org/officeDocument/2006/relationships" name="Regulatory vs Behaviour" sheetId="13" state="visible" r:id="rId13"/>
    <sheet xmlns:r="http://schemas.openxmlformats.org/officeDocument/2006/relationships" name="AVCA Aggregate vs Disclosed" sheetId="14" state="visible" r:id="rId14"/>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0" hidden="1">'Source Library'!$A$1:$F$178</definedName>
    <definedName name="_xlnm._FilterDatabase" localSheetId="11" hidden="1">'Absentees Investigation'!$A$3:$G$13</definedName>
    <definedName name="_xlnm._FilterDatabase" localSheetId="12"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6">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86"/>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Fund LP</t>
        </is>
      </c>
      <c r="E25" s="2" t="inlineStr">
        <is>
          <t>Wessal Capital</t>
        </is>
      </c>
      <c r="F25" s="2" t="inlineStr">
        <is>
          <t>Wessal Capital (joint Morocco + Gulf SWFs platform)</t>
        </is>
      </c>
      <c r="G25" s="2" t="inlineStr">
        <is>
          <t>Direct / Real estate, infra</t>
        </is>
      </c>
      <c r="H25" s="2" t="inlineStr">
        <is>
          <t>Domestic</t>
        </is>
      </c>
      <c r="I25" s="2" t="inlineStr">
        <is>
          <t>active</t>
        </is>
      </c>
      <c r="J25" s="2" t="inlineStr">
        <is>
          <t>USD 2.5bn target</t>
        </is>
      </c>
      <c r="K25" s="2" t="inlineStr">
        <is>
          <t>USD</t>
        </is>
      </c>
      <c r="L25" s="2" t="inlineStr">
        <is>
          <t>Press release</t>
        </is>
      </c>
      <c r="M25" s="2" t="inlineStr">
        <is>
          <t>Wessal Capital announcements</t>
        </is>
      </c>
      <c r="N25" s="2" t="inlineStr">
        <is>
          <t>H</t>
        </is>
      </c>
      <c r="O25" s="2" t="inlineStr">
        <is>
          <t>Joint platform with Abu Dhabi, Kuwait, Qatar SWFs.</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t>
        </is>
      </c>
      <c r="E42" s="2" t="inlineStr">
        <is>
          <t>SEAF (Small Enterprise Assistance Funds)</t>
        </is>
      </c>
      <c r="F42" s="2" t="inlineStr">
        <is>
          <t>Oyass Capital</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partnered with KfW (Germany) to launch Oyass Capital for Senegalese SMEs; awarded mgmt mandate to SEAF after intl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 (PE / VC / Private credit)</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 (PE / VC / Private credit)</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row r="88" ht="45.75" customHeight="1" s="16"/>
    <row r="89" ht="34.5" customHeight="1" s="16"/>
    <row r="90" ht="34.5" customHeight="1" s="16"/>
    <row r="91" ht="23.25" customHeight="1" s="16"/>
    <row r="92" ht="23.25" customHeight="1" s="16"/>
    <row r="93" ht="124.5" customHeight="1" s="16"/>
    <row r="94" ht="124.5" customHeight="1" s="16"/>
    <row r="95" ht="79.5" customHeight="1" s="16"/>
    <row r="96" ht="34.5" customHeight="1" s="16"/>
    <row r="97" ht="45.75" customHeight="1" s="16"/>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FoF (PE/VC/Private credit)</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5"/>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FoF (PE/VC/Private credit)</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t>
        </is>
      </c>
      <c r="B8" s="2" t="inlineStr">
        <is>
          <t>SEAF (Small Enterprise Assistance Funds)</t>
        </is>
      </c>
      <c r="C8" s="2" t="inlineStr">
        <is>
          <t>2024</t>
        </is>
      </c>
      <c r="D8" s="2" t="inlineStr">
        <is>
          <t>~82 (XOF 50bn)</t>
        </is>
      </c>
      <c r="E8" s="2" t="inlineStr">
        <is>
          <t>PE / SME</t>
        </is>
      </c>
      <c r="F8" s="2" t="inlineStr">
        <is>
          <t>Senegal</t>
        </is>
      </c>
      <c r="G8" s="2" t="n">
        <v>1</v>
      </c>
      <c r="H8" s="2" t="inlineStr">
        <is>
          <t>FONSIS</t>
        </is>
      </c>
      <c r="I8" s="2" t="n">
        <v>1</v>
      </c>
      <c r="J8" s="2" t="inlineStr">
        <is>
          <t>KfW (German cooperation)</t>
        </is>
      </c>
      <c r="K8" s="2" t="inlineStr">
        <is>
          <t>—</t>
        </is>
      </c>
      <c r="L8" s="2" t="inlineStr">
        <is>
          <t>FONSIS + KfW launch; SEAF mandate award after international tender.</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t>
        </is>
      </c>
      <c r="B25" s="2" t="inlineStr">
        <is>
          <t>Wessal Capital partnership</t>
        </is>
      </c>
      <c r="C25" s="2" t="inlineStr">
        <is>
          <t>active</t>
        </is>
      </c>
      <c r="D25" s="2" t="inlineStr">
        <is>
          <t>USD 2.5bn target</t>
        </is>
      </c>
      <c r="E25" s="2" t="inlineStr">
        <is>
          <t>Direct (real estate / infra)</t>
        </is>
      </c>
      <c r="F25" s="2" t="inlineStr">
        <is>
          <t>Morocco</t>
        </is>
      </c>
      <c r="G25" s="2" t="n">
        <v>1</v>
      </c>
      <c r="H25" s="2" t="inlineStr">
        <is>
          <t>Ithmar Capital (Morocco SWF)</t>
        </is>
      </c>
      <c r="I25" s="2" t="n">
        <v>0</v>
      </c>
      <c r="J25" s="2" t="inlineStr">
        <is>
          <t>—</t>
        </is>
      </c>
      <c r="K25" s="2" t="inlineStr">
        <is>
          <t>Abu Dhabi, Kuwait, Qatar SWFs (Gulf SWF co-investors)</t>
        </is>
      </c>
      <c r="L25" s="2" t="inlineStr">
        <is>
          <t>Joint Morocco + Gulf SWF platform.</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KEPFIC pooled mandates (Kenya)</t>
        </is>
      </c>
      <c r="B29" s="2" t="inlineStr">
        <is>
          <t>Various (mandates allocated to managers)</t>
        </is>
      </c>
      <c r="C29" s="2" t="inlineStr">
        <is>
          <t>2019-ongoing</t>
        </is>
      </c>
      <c r="D29" s="2" t="inlineStr">
        <is>
          <t>USD 113m mobilized into two housing projects; member AUM ~USD 5bn</t>
        </is>
      </c>
      <c r="E29" s="2" t="inlineStr">
        <is>
          <t>Infrastructure / alts</t>
        </is>
      </c>
      <c r="F29" s="2" t="inlineStr">
        <is>
          <t>Kenya + regional</t>
        </is>
      </c>
      <c r="G29" s="2" t="inlineStr">
        <is>
          <t>24 member schemes</t>
        </is>
      </c>
      <c r="H29" s="2" t="inlineStr">
        <is>
          <t>24 Kenyan retirement benefit funds (named on KEPFIC site); collective ~1/3 of total Kenyan pension AUM</t>
        </is>
      </c>
      <c r="I29" s="2" t="n">
        <v>0</v>
      </c>
      <c r="J29" s="2" t="inlineStr">
        <is>
          <t>—</t>
        </is>
      </c>
      <c r="K29" s="2" t="inlineStr">
        <is>
          <t>USAID + World Bank Group technical support; FMA Kenya MOU</t>
        </is>
      </c>
      <c r="L29" s="2" t="inlineStr">
        <is>
          <t>Aggregate consortium archetype, not a conventional fund LP row. Retained because IFC reports two facilitated member-fund investments and $113m mobilized; MiDA reports members invested in Lot 3 Road Project Bonds.</t>
        </is>
      </c>
    </row>
    <row r="30" ht="90.75" customHeight="1" s="16">
      <c r="A30" s="2" t="inlineStr">
        <is>
          <t>Sahel Capital Fund for Agricultural Finance in Nigeria (FAFIN)</t>
        </is>
      </c>
      <c r="B30" s="2" t="inlineStr">
        <is>
          <t>Sahel Capital</t>
        </is>
      </c>
      <c r="C30" s="2" t="n">
        <v>2017</v>
      </c>
      <c r="D30" s="2" t="n">
        <v>65.90000000000001</v>
      </c>
      <c r="E30" s="2" t="inlineStr">
        <is>
          <t>PE / Agribusiness</t>
        </is>
      </c>
      <c r="F30" s="2" t="inlineStr">
        <is>
          <t>Nigeria</t>
        </is>
      </c>
      <c r="G30" s="2" t="n">
        <v>1</v>
      </c>
      <c r="H30" s="2" t="inlineStr">
        <is>
          <t>NSIA Nigeria</t>
        </is>
      </c>
      <c r="I30" s="2" t="n">
        <v>3</v>
      </c>
      <c r="J30" s="2" t="inlineStr">
        <is>
          <t>AfDB, BII, Dutch Good Growth Fund</t>
        </is>
      </c>
      <c r="K30" s="2" t="inlineStr">
        <is>
          <t>—</t>
        </is>
      </c>
      <c r="L30" s="2" t="inlineStr">
        <is>
          <t>NSIA's earliest disclosed PE fund LP position; alongside three DFIs.</t>
        </is>
      </c>
    </row>
    <row r="31" ht="23.25" customHeight="1" s="16">
      <c r="A31" s="2" t="inlineStr">
        <is>
          <t>Capital Alliance Private Equity I-IV (CAPE)</t>
        </is>
      </c>
      <c r="B31" s="2" t="inlineStr">
        <is>
          <t>African Capital Alliance (ACA)</t>
        </is>
      </c>
      <c r="C31" s="2" t="inlineStr">
        <is>
          <t>1998-ongoing</t>
        </is>
      </c>
      <c r="D31" s="2" t="inlineStr">
        <is>
          <t>&gt;1,000 cumulative</t>
        </is>
      </c>
      <c r="E31" s="2" t="inlineStr">
        <is>
          <t>PE</t>
        </is>
      </c>
      <c r="F31" s="2" t="inlineStr">
        <is>
          <t>Nigeria + West Africa</t>
        </is>
      </c>
      <c r="G31" s="2" t="inlineStr">
        <is>
          <t>historical cohort</t>
        </is>
      </c>
      <c r="H31" s="2" t="inlineStr">
        <is>
          <t>Nigerian PFAs (categorical historical disclosure; ACA explicitly 'championed PE inclusion as allowable Nigerian pension asset class')</t>
        </is>
      </c>
      <c r="I31" s="2" t="inlineStr">
        <is>
          <t>multiple</t>
        </is>
      </c>
      <c r="J31" s="2" t="inlineStr">
        <is>
          <t>BII (CAPE IV); various DFIs across vintages</t>
        </is>
      </c>
      <c r="K31" s="2" t="inlineStr">
        <is>
          <t>—</t>
        </is>
      </c>
      <c r="L31" s="2" t="inlineStr">
        <is>
          <t>First Nigerian PE firm (founded 1997); CAPE I was Nigeria's first PE fund (1998). Continental pioneer of pension-PE inclusion.</t>
        </is>
      </c>
    </row>
    <row r="32" ht="23.25" customHeight="1" s="16">
      <c r="A32" s="2" t="inlineStr">
        <is>
          <t>Rwanda SME Growth Fund</t>
        </is>
      </c>
      <c r="B32" s="2" t="inlineStr">
        <is>
          <t>Enko Capital (Rwanda subsidiary)</t>
        </is>
      </c>
      <c r="C32" s="2" t="n">
        <v>2026</v>
      </c>
      <c r="D32" s="2" t="inlineStr">
        <is>
          <t>30 first close (target 100)</t>
        </is>
      </c>
      <c r="E32" s="2" t="inlineStr">
        <is>
          <t>PE / SME growth (local-currency)</t>
        </is>
      </c>
      <c r="F32" s="2" t="inlineStr">
        <is>
          <t>Rwanda</t>
        </is>
      </c>
      <c r="G32" s="2" t="n">
        <v>1</v>
      </c>
      <c r="H32" s="2" t="inlineStr">
        <is>
          <t>RSSB (Rwanda Social Security Board) — USD 30m anchor + USD 3m TA seed</t>
        </is>
      </c>
      <c r="I32" s="2" t="n">
        <v>1</v>
      </c>
      <c r="J32" s="2" t="inlineStr">
        <is>
          <t>FSD Africa Investments (structuring + planned guarantee)</t>
        </is>
      </c>
      <c r="K32" s="2" t="inlineStr">
        <is>
          <t>—</t>
        </is>
      </c>
      <c r="L32" s="2" t="inlineStr">
        <is>
          <t>First permanent capital vehicle anchored by an African pension fund (per RSSB CEO). Three regional firsts: pension-fund-led SME-only mandate, anchor permanent-capital vehicle, pension-fund TA facility.</t>
        </is>
      </c>
    </row>
    <row r="33" ht="23.25" customHeight="1" s="16">
      <c r="A33" s="2" t="inlineStr">
        <is>
          <t>AOFSA pooled infrastructure mandates (South Africa)</t>
        </is>
      </c>
      <c r="B33" s="2" t="inlineStr">
        <is>
          <t>Various managers (mandates allocated)</t>
        </is>
      </c>
      <c r="C33" s="2" t="inlineStr">
        <is>
          <t>2021-ongoing</t>
        </is>
      </c>
      <c r="D33" s="2" t="inlineStr">
        <is>
          <t>R5.7bn / USD 400m+ collectively committed to infrastructure and other alternatives</t>
        </is>
      </c>
      <c r="E33" s="2" t="inlineStr">
        <is>
          <t>Infrastructure / Alts</t>
        </is>
      </c>
      <c r="F33" s="2" t="inlineStr">
        <is>
          <t>South Africa</t>
        </is>
      </c>
      <c r="G33" s="2" t="inlineStr">
        <is>
          <t>12-15 member schemes</t>
        </is>
      </c>
      <c r="H33" s="2" t="inlineStr">
        <is>
          <t>GEPF; EPPF; Telkom Retirement Fund; Transnet Retirement Fund; National Fund for Municipal Workers; KZN Joint Municipal Pension Fund (NJMPF); KZN Municipal Pension Fund; Motor Industry Retirement Fund (named); 4-7 additional founding members not individually named</t>
        </is>
      </c>
      <c r="I33" s="2" t="n">
        <v>0</v>
      </c>
      <c r="J33" s="2" t="inlineStr">
        <is>
          <t>—</t>
        </is>
      </c>
      <c r="K33" s="2" t="inlineStr">
        <is>
          <t>Batseta Council; USAID + MiDA Advisors + World Bank technical support</t>
        </is>
      </c>
      <c r="L33" s="2" t="inlineStr">
        <is>
          <t>Aggregate consortium archetype, not a conventional fund LP row. Retained because public sources report actual collective member commitments, while individual member rows are not separately counted as commitments.</t>
        </is>
      </c>
    </row>
    <row r="34" ht="23.25" customHeight="1" s="16">
      <c r="A34" s="2" t="inlineStr">
        <is>
          <t>Mirepa Capital SME Fund I</t>
        </is>
      </c>
      <c r="B34" s="2" t="inlineStr">
        <is>
          <t>Mirepa Investment Advisors</t>
        </is>
      </c>
      <c r="C34" s="2" t="n">
        <v>2023</v>
      </c>
      <c r="D34" s="2" t="inlineStr">
        <is>
          <t>~10-12 (GHS 120m initial close)</t>
        </is>
      </c>
      <c r="E34" s="2" t="inlineStr">
        <is>
          <t>PE / SME growth</t>
        </is>
      </c>
      <c r="F34" s="2" t="inlineStr">
        <is>
          <t>Ghana</t>
        </is>
      </c>
      <c r="G34" s="2" t="inlineStr">
        <is>
          <t>2 named pension trustees + categorical CAMCOL schemes</t>
        </is>
      </c>
      <c r="H34" s="2" t="inlineStr">
        <is>
          <t>Petra Trust; Axis Pensions; multiple schemes via CAL Asset Management Company (CAMCOL); Venture Capital Trust Fund (VCTF)</t>
        </is>
      </c>
      <c r="I34" s="2" t="n">
        <v>0</v>
      </c>
      <c r="J34" s="2" t="inlineStr">
        <is>
          <t>—</t>
        </is>
      </c>
      <c r="K34" s="2" t="inlineStr">
        <is>
          <t>VCTF is a Ghanaian quasi-government VC fund (not strictly a DFI)</t>
        </is>
      </c>
      <c r="L34" s="2" t="inlineStr">
        <is>
          <t>Second Ghana fund anchored solely by local investors (after Injaro IGVCF). 100% local-LP-funded. Confirms Ghana's emerging mandated-minimum-alts policy is producing real deal flow.</t>
        </is>
      </c>
    </row>
    <row r="35" ht="23.25" customHeight="1" s="16">
      <c r="A35" s="2" t="inlineStr">
        <is>
          <t>Injaro Ghana Venture Capital Fund (IGVCF)</t>
        </is>
      </c>
      <c r="B35" s="2" t="inlineStr">
        <is>
          <t>Injaro Investment Advisors</t>
        </is>
      </c>
      <c r="C35" s="2" t="n">
        <v>2023</v>
      </c>
      <c r="D35" s="2" t="inlineStr">
        <is>
          <t>~17.4 (GHS 216m final close Dec 2023)</t>
        </is>
      </c>
      <c r="E35" s="2" t="inlineStr">
        <is>
          <t>PE / SME / VC</t>
        </is>
      </c>
      <c r="F35" s="2" t="inlineStr">
        <is>
          <t>Ghana + Côte d'Ivoire</t>
        </is>
      </c>
      <c r="G35" s="2" t="inlineStr">
        <is>
          <t>multiple Ghanaian pension funds (anchor cohort)</t>
        </is>
      </c>
      <c r="H35" s="2" t="inlineStr">
        <is>
          <t>Specific names not individually disclosed</t>
        </is>
      </c>
      <c r="I35" s="2" t="n">
        <v>0</v>
      </c>
      <c r="J35" s="2" t="inlineStr">
        <is>
          <t>—</t>
        </is>
      </c>
      <c r="K35" s="2" t="inlineStr">
        <is>
          <t>Venture Capital Trust Fund (VCTF) of Ghana</t>
        </is>
      </c>
      <c r="L35" s="2" t="inlineStr">
        <is>
          <t>FIRST Ghana fund of its kind anchored by local pension funds. Historical precedent for Mirepa I, Ci-Gaba, GIP Ghana model. Ghana cedi-denominated.</t>
        </is>
      </c>
    </row>
    <row r="36" ht="15" customHeight="1" s="16"/>
    <row r="37" ht="34.5" customHeight="1" s="16"/>
    <row r="38" ht="23.25" customHeight="1" s="16"/>
    <row r="39" ht="34.5" customHeight="1" s="16"/>
    <row r="40" ht="34.5" customHeight="1" s="16"/>
    <row r="41" ht="15" customHeight="1" s="16"/>
    <row r="42" ht="45.75" customHeight="1" s="16"/>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48"/>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8</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t>
        </is>
      </c>
      <c r="D4" s="23" t="inlineStr">
        <is>
          <t>Frequent anchor/catalytic DFI, including BII-established GIP platforms designed to crowd in local pension capital.</t>
        </is>
      </c>
      <c r="E4" s="23" t="inlineStr">
        <is>
          <t>1 (Top tier)</t>
        </is>
      </c>
    </row>
    <row r="5" ht="23.25" customHeight="1" s="16">
      <c r="A5" s="23" t="inlineStr">
        <is>
          <t>AfDB</t>
        </is>
      </c>
      <c r="B5" s="23" t="n">
        <v>6</v>
      </c>
      <c r="C5" s="23" t="inlineStr">
        <is>
          <t>AfricInvest FIVE (Financial Inclusion Vehicle); Africa50 (general); Africa50 Infrastructure Acceleration Fund (IAF); Mediterrania Capital II / III / IV; Nigeria Infrastructure Fund (NIF, NSIA sub-fund); Sahel Capital Fund for Agricultural Finance in Nigeria (FAFIN)</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5</v>
      </c>
      <c r="C7" s="23" t="inlineStr">
        <is>
          <t>Adenia Capital V; Africa50 Infrastructure Acceleration Fund (IAF); Ascent Rift Valley Fund II (ARVF II); Catalyst Fund II; Vantage Mezzanine IV (Pan-African sub-fund)</t>
        </is>
      </c>
      <c r="D7" s="23" t="inlineStr">
        <is>
          <t>World Bank Group investor and disclosure source; active in flagship PE/infrastructure vehicles.</t>
        </is>
      </c>
      <c r="E7" s="23" t="inlineStr">
        <is>
          <t>2 (Active)</t>
        </is>
      </c>
    </row>
    <row r="8" ht="23.25" customHeight="1" s="16">
      <c r="A8" s="23" t="inlineStr">
        <is>
          <t>EIB</t>
        </is>
      </c>
      <c r="B8" s="23" t="n">
        <v>4</v>
      </c>
      <c r="C8" s="23" t="inlineStr">
        <is>
          <t>Adenia Capital V; Catalyst Fund II; Mediterrania Capital II / III / IV; Vantage Mezzanine IV (Pan-African sub-fund)</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2</v>
      </c>
      <c r="C13" s="23" t="inlineStr">
        <is>
          <t>AfricInvest FIVE (Financial Inclusion Vehicle); Oyass Capital</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1</v>
      </c>
      <c r="C24" s="23" t="inlineStr">
        <is>
          <t>Sahel Capital Fund for Agricultural Finance in Nigeria (FAFIN)</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1</v>
      </c>
      <c r="C27" s="23" t="inlineStr">
        <is>
          <t>AfricInvest FIVE (Financial Inclusion Vehicle)</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8"/>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1"/>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t>
        </is>
      </c>
      <c r="D7" s="23" t="inlineStr">
        <is>
          <t>FONSIS</t>
        </is>
      </c>
      <c r="E7" s="23" t="inlineStr">
        <is>
          <t>Include</t>
        </is>
      </c>
      <c r="F7" s="23" t="inlineStr">
        <is>
          <t>Include</t>
        </is>
      </c>
      <c r="G7" s="23" t="inlineStr">
        <is>
          <t>Column H identifies a named African PF/SWF, a named cohort, or the allocator itself is an African SWF/PF vehicle.</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t>
        </is>
      </c>
      <c r="D31" s="23" t="inlineStr">
        <is>
          <t>Ithmar Capital (Morocco SWF)</t>
        </is>
      </c>
      <c r="E31" s="23" t="inlineStr">
        <is>
          <t>Include</t>
        </is>
      </c>
      <c r="F31" s="23" t="inlineStr">
        <is>
          <t>Include</t>
        </is>
      </c>
      <c r="G31" s="23" t="inlineStr">
        <is>
          <t>Column H identifies a named African PF/SWF, a named cohort, or the allocator itself is an African SWF/PF vehicle.</t>
        </is>
      </c>
      <c r="H31" s="23" t="inlineStr"/>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Include</t>
        </is>
      </c>
      <c r="F35" s="23" t="inlineStr">
        <is>
          <t>Include - aggregate actual pooled mandate</t>
        </is>
      </c>
      <c r="G35" s="23" t="inlineStr">
        <is>
          <t>Retain as aggregate consortium archetype, not as a conventional fund LP row. IFC reports KEPFIC mobilized $113m into two housing projects and facilitated two member-fund investments; MiDA reports Lot 3 Road Project Bonds investment by KEPFIC members.</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Include</t>
        </is>
      </c>
      <c r="F41" s="23" t="inlineStr">
        <is>
          <t>Include - aggregate actual pooled mandate</t>
        </is>
      </c>
      <c r="G41" s="23" t="inlineStr">
        <is>
          <t>Retain as aggregate consortium archetype. Engineering News reports AOFSA member funds collectively committed R5.7bn to infrastructure; MiDA/USAID sources also report &gt;$400m commitments.</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78"/>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FONSIS Oyass Capital launch with SEAF as manager</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sheetData>
  <autoFilter ref="A1:F178"/>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2026-05-14T13:45:16Z</dcterms:modified>
  <cp:lastModifiedBy>Matt Guttentag</cp:lastModifiedBy>
  <cp:revision>0</cp:revision>
</cp:coreProperties>
</file>