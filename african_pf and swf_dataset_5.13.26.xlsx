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500" firstSheet="0" activeTab="3" autoFilterDateGrouping="1"/>
  </bookViews>
  <sheets>
    <sheet xmlns:r="http://schemas.openxmlformats.org/officeDocument/2006/relationships" name="Sovereign Wealth Funds" sheetId="1" state="visible" r:id="rId1"/>
    <sheet xmlns:r="http://schemas.openxmlformats.org/officeDocument/2006/relationships" name="Pension Funds" sheetId="2" state="visible" r:id="rId2"/>
    <sheet xmlns:r="http://schemas.openxmlformats.org/officeDocument/2006/relationships" name="Tier 1 Candidates" sheetId="3" state="visible" r:id="rId3"/>
    <sheet xmlns:r="http://schemas.openxmlformats.org/officeDocument/2006/relationships" name="Commitments Database" sheetId="4" state="visible" r:id="rId4"/>
    <sheet xmlns:r="http://schemas.openxmlformats.org/officeDocument/2006/relationships" name="Pipeline &amp; Mandates" sheetId="5" state="visible" r:id="rId5"/>
    <sheet xmlns:r="http://schemas.openxmlformats.org/officeDocument/2006/relationships" name="Funds &amp; LP Co-Investors" sheetId="6" state="visible" r:id="rId6"/>
    <sheet xmlns:r="http://schemas.openxmlformats.org/officeDocument/2006/relationships" name="DFI Co-Investor Patterns" sheetId="7" state="visible" r:id="rId7"/>
    <sheet xmlns:r="http://schemas.openxmlformats.org/officeDocument/2006/relationships" name="Country Summary" sheetId="8" state="visible" r:id="rId8"/>
    <sheet xmlns:r="http://schemas.openxmlformats.org/officeDocument/2006/relationships" name="Methodology &amp; Caveats" sheetId="9" state="visible" r:id="rId9"/>
    <sheet xmlns:r="http://schemas.openxmlformats.org/officeDocument/2006/relationships" name="Inclusion Audit" sheetId="10" state="visible" r:id="rId10"/>
    <sheet xmlns:r="http://schemas.openxmlformats.org/officeDocument/2006/relationships" name="Omission Candidates" sheetId="11" state="visible" r:id="rId11"/>
    <sheet xmlns:r="http://schemas.openxmlformats.org/officeDocument/2006/relationships" name="Source Library" sheetId="12" state="visible" r:id="rId12"/>
    <sheet xmlns:r="http://schemas.openxmlformats.org/officeDocument/2006/relationships" name="Absentees Investigation" sheetId="13" state="visible" r:id="rId13"/>
    <sheet xmlns:r="http://schemas.openxmlformats.org/officeDocument/2006/relationships" name="Regulatory vs Behaviour" sheetId="14" state="visible" r:id="rId14"/>
    <sheet xmlns:r="http://schemas.openxmlformats.org/officeDocument/2006/relationships" name="AVCA Aggregate vs Disclosed" sheetId="15" state="visible" r:id="rId15"/>
  </sheets>
  <definedNames>
    <definedName name="_xlnm._FilterDatabase" localSheetId="0" hidden="1">'Sovereign Wealth Funds'!$A$1:$K$27</definedName>
    <definedName name="_xlnm._FilterDatabase" localSheetId="1" hidden="1">'Pension Funds'!$A$1:$K$230</definedName>
    <definedName name="_xlnm._FilterDatabase" localSheetId="2" hidden="1">'Tier 1 Candidates'!$A$3:$G$51</definedName>
    <definedName name="_xlnm._FilterDatabase" localSheetId="3" hidden="1">'Commitments Database'!$A$1:$O$98</definedName>
    <definedName name="_xlnm._FilterDatabase" localSheetId="4" hidden="1">'Pipeline &amp; Mandates'!$A$1:$P$13</definedName>
    <definedName name="_xlnm._FilterDatabase" localSheetId="5" hidden="1">'Funds &amp; LP Co-Investors'!$A$1:$L$46</definedName>
    <definedName name="_xlnm._FilterDatabase" localSheetId="6" hidden="1">'DFI Co-Investor Patterns'!$A$3:$E$27</definedName>
    <definedName name="_xlnm._FilterDatabase" localSheetId="9" hidden="1">'Inclusion Audit'!$A$1:$H$56</definedName>
    <definedName name="_xlnm._FilterDatabase" localSheetId="11" hidden="1">'Source Library'!$A$1:$F$178</definedName>
    <definedName name="_xlnm._FilterDatabase" localSheetId="12" hidden="1">'Absentees Investigation'!$A$3:$G$13</definedName>
    <definedName name="_xlnm._FilterDatabase" localSheetId="13" hidden="1">'Regulatory vs Behaviour'!$A$3:$H$22</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10">
    <font>
      <name val="Calibri"/>
      <charset val="1"/>
      <family val="2"/>
      <color theme="1"/>
      <sz val="11"/>
    </font>
    <font>
      <name val="Arial"/>
      <charset val="1"/>
      <b val="1"/>
      <color rgb="FFFFFFFF"/>
      <sz val="10"/>
    </font>
    <font>
      <name val="Arial"/>
      <charset val="1"/>
      <sz val="10"/>
    </font>
    <font>
      <name val="Arial"/>
      <charset val="1"/>
      <b val="1"/>
      <color rgb="FF1F4E78"/>
      <sz val="11"/>
    </font>
    <font>
      <name val="Arial"/>
      <charset val="1"/>
      <b val="1"/>
      <color rgb="FF1F4E78"/>
      <sz val="14"/>
    </font>
    <font>
      <name val="Arial"/>
      <charset val="1"/>
      <b val="1"/>
      <sz val="10"/>
    </font>
    <font>
      <name val="Arial"/>
      <charset val="1"/>
      <b val="1"/>
      <color rgb="FF1F4E78"/>
      <sz val="12"/>
    </font>
    <font>
      <name val="Arial"/>
      <sz val="10"/>
    </font>
    <font>
      <b val="1"/>
      <color rgb="00FFFFFF"/>
    </font>
    <font>
      <b val="1"/>
    </font>
  </fonts>
  <fills count="7">
    <fill>
      <patternFill/>
    </fill>
    <fill>
      <patternFill patternType="gray125"/>
    </fill>
    <fill>
      <patternFill patternType="solid">
        <fgColor rgb="FF1F4E78"/>
        <bgColor rgb="FF003366"/>
      </patternFill>
    </fill>
    <fill>
      <patternFill patternType="solid">
        <fgColor rgb="FFDDEBF7"/>
        <bgColor rgb="FFCCFFFF"/>
      </patternFill>
    </fill>
    <fill>
      <patternFill patternType="solid">
        <fgColor rgb="001F4E78"/>
      </patternFill>
    </fill>
    <fill>
      <patternFill patternType="solid">
        <fgColor rgb="007A4E00"/>
      </patternFill>
    </fill>
    <fill>
      <patternFill patternType="solid">
        <fgColor rgb="001A3A5C"/>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bottom style="thin">
        <color rgb="00D9E2F3"/>
      </bottom>
    </border>
    <border>
      <bottom style="thin">
        <color rgb="00EAD7B7"/>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164" fontId="2" fillId="0" borderId="1" applyAlignment="1" pivotButton="0" quotePrefix="0" xfId="0">
      <alignment vertical="top" wrapText="1"/>
    </xf>
    <xf numFmtId="0" fontId="4" fillId="0" borderId="0" pivotButton="0" quotePrefix="0" xfId="0"/>
    <xf numFmtId="0" fontId="5" fillId="0" borderId="0" applyAlignment="1" pivotButton="0" quotePrefix="0" xfId="0">
      <alignment vertical="top"/>
    </xf>
    <xf numFmtId="0" fontId="2" fillId="0" borderId="0" applyAlignment="1" pivotButton="0" quotePrefix="0" xfId="0">
      <alignment vertical="top" wrapText="1"/>
    </xf>
    <xf numFmtId="0" fontId="6" fillId="0" borderId="0" pivotButton="0" quotePrefix="0" xfId="0"/>
    <xf numFmtId="3" fontId="2" fillId="0" borderId="1" applyAlignment="1" pivotButton="0" quotePrefix="0" xfId="0">
      <alignment vertical="top" wrapText="1"/>
    </xf>
    <xf numFmtId="165" fontId="2" fillId="0" borderId="1" applyAlignment="1" pivotButton="0" quotePrefix="0" xfId="0">
      <alignment vertical="top" wrapText="1"/>
    </xf>
    <xf numFmtId="0" fontId="5" fillId="3" borderId="1" applyAlignment="1" pivotButton="0" quotePrefix="0" xfId="0">
      <alignment vertical="top" wrapText="1"/>
    </xf>
    <xf numFmtId="0" fontId="2" fillId="0" borderId="2" applyAlignment="1" pivotButton="0" quotePrefix="0" xfId="0">
      <alignment vertical="top" wrapText="1"/>
    </xf>
    <xf numFmtId="1" fontId="2" fillId="0" borderId="1" applyAlignment="1" pivotButton="0" quotePrefix="0" xfId="0">
      <alignment vertical="top" wrapText="1"/>
    </xf>
    <xf numFmtId="0" fontId="7" fillId="0" borderId="3" applyAlignment="1" pivotButton="0" quotePrefix="0" xfId="0">
      <alignment vertical="top" wrapText="1"/>
    </xf>
    <xf numFmtId="0" fontId="3" fillId="0" borderId="0" applyAlignment="1" pivotButton="0" quotePrefix="0" xfId="0">
      <alignment vertical="top" wrapText="1"/>
    </xf>
    <xf numFmtId="0" fontId="0" fillId="0" borderId="0" pivotButton="0" quotePrefix="0" xfId="0"/>
    <xf numFmtId="0" fontId="2" fillId="0" borderId="0" applyAlignment="1" pivotButton="0" quotePrefix="0" xfId="0">
      <alignment vertical="top" wrapText="1"/>
    </xf>
    <xf numFmtId="0" fontId="3" fillId="0" borderId="0" pivotButton="0" quotePrefix="0" xfId="0"/>
    <xf numFmtId="0" fontId="6" fillId="0" borderId="0" applyAlignment="1" pivotButton="0" quotePrefix="0" xfId="0">
      <alignment vertical="top" wrapText="1"/>
    </xf>
    <xf numFmtId="0" fontId="9" fillId="0" borderId="0" pivotButton="0" quotePrefix="0" xfId="0"/>
    <xf numFmtId="0" fontId="0" fillId="0" borderId="0" applyAlignment="1" pivotButton="0" quotePrefix="0" xfId="0">
      <alignment vertical="top" wrapText="1"/>
    </xf>
    <xf numFmtId="0" fontId="8" fillId="4" borderId="0" applyAlignment="1" pivotButton="0" quotePrefix="0" xfId="0">
      <alignment vertical="center" wrapText="1"/>
    </xf>
    <xf numFmtId="0" fontId="0" fillId="0" borderId="4" applyAlignment="1" pivotButton="0" quotePrefix="0" xfId="0">
      <alignment vertical="top" wrapText="1"/>
    </xf>
    <xf numFmtId="0" fontId="8" fillId="4" borderId="1" applyAlignment="1" pivotButton="0" quotePrefix="0" xfId="0">
      <alignment vertical="center" wrapText="1"/>
    </xf>
    <xf numFmtId="0" fontId="8" fillId="5" borderId="0" applyAlignment="1" pivotButton="0" quotePrefix="0" xfId="0">
      <alignment vertical="center" wrapText="1"/>
    </xf>
    <xf numFmtId="0" fontId="0" fillId="0" borderId="5" applyAlignment="1" pivotButton="0" quotePrefix="0" xfId="0">
      <alignment vertical="top" wrapText="1"/>
    </xf>
    <xf numFmtId="0" fontId="8" fillId="6" borderId="0" applyAlignment="1" pivotButton="0" quotePrefix="0" xfId="0">
      <alignment vertical="top" wrapText="1"/>
    </xf>
  </cellXfs>
  <cellStyles count="1">
    <cellStyle name="Normal" xfId="0" builtinId="0"/>
  </cellStyles>
  <dxfs count="9">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zoomScaleNormal="100" workbookViewId="0">
      <pane ySplit="1" topLeftCell="A2" activePane="bottomLeft" state="frozen"/>
      <selection pane="bottomLeft" activeCell="A1" sqref="A1"/>
    </sheetView>
  </sheetViews>
  <sheetFormatPr baseColWidth="8" defaultColWidth="8.7109375" defaultRowHeight="15"/>
  <cols>
    <col width="18" customWidth="1" style="16" min="1" max="1"/>
    <col width="38" customWidth="1" style="16" min="2" max="2"/>
    <col width="22" customWidth="1" style="16" min="3" max="3"/>
    <col width="12" customWidth="1" style="16" min="4" max="4"/>
    <col width="16" customWidth="1" style="16" min="5" max="5"/>
    <col width="12" customWidth="1" style="16" min="6" max="6"/>
    <col width="14" customWidth="1" style="16" min="7" max="7"/>
    <col width="24" customWidth="1" style="16" min="8" max="8"/>
    <col width="22" customWidth="1" style="16" min="9" max="9"/>
    <col width="12" customWidth="1" style="16" min="10" max="10"/>
    <col width="60" customWidth="1" style="16" min="11" max="11"/>
  </cols>
  <sheetData>
    <row r="1" ht="23.25" customHeight="1" s="16">
      <c r="A1" s="1" t="inlineStr">
        <is>
          <t>Country</t>
        </is>
      </c>
      <c r="B1" s="1" t="inlineStr">
        <is>
          <t>Institution</t>
        </is>
      </c>
      <c r="C1" s="1" t="inlineStr">
        <is>
          <t>Mandate type</t>
        </is>
      </c>
      <c r="D1" s="1" t="inlineStr">
        <is>
          <t>Established</t>
        </is>
      </c>
      <c r="E1" s="1" t="inlineStr">
        <is>
          <t>AUM (USD m, approx)</t>
        </is>
      </c>
      <c r="F1" s="1" t="inlineStr">
        <is>
          <t>As-of year</t>
        </is>
      </c>
      <c r="G1" s="1" t="inlineStr">
        <is>
          <t>Currency basis (local)</t>
        </is>
      </c>
      <c r="H1" s="1" t="inlineStr">
        <is>
          <t>Owner / Regulator</t>
        </is>
      </c>
      <c r="I1" s="1" t="inlineStr">
        <is>
          <t>Public reporting</t>
        </is>
      </c>
      <c r="J1" s="1" t="inlineStr">
        <is>
          <t>Confidence</t>
        </is>
      </c>
      <c r="K1" s="1" t="inlineStr">
        <is>
          <t>Notes</t>
        </is>
      </c>
    </row>
    <row r="2" ht="23.25" customHeight="1" s="16">
      <c r="A2" s="2" t="inlineStr">
        <is>
          <t>Algeria</t>
        </is>
      </c>
      <c r="B2" s="2" t="inlineStr">
        <is>
          <t>Fonds de Régulation des Recettes (FRR)</t>
        </is>
      </c>
      <c r="C2" s="2" t="inlineStr">
        <is>
          <t>Stabilisation</t>
        </is>
      </c>
      <c r="D2" s="2" t="n">
        <v>2000</v>
      </c>
      <c r="E2" s="2" t="n"/>
      <c r="F2" s="2" t="inlineStr">
        <is>
          <t>n/a</t>
        </is>
      </c>
      <c r="G2" s="2" t="inlineStr">
        <is>
          <t>DZD</t>
        </is>
      </c>
      <c r="H2" s="2" t="inlineStr">
        <is>
          <t>Ministry of Finance</t>
        </is>
      </c>
      <c r="I2" s="2" t="inlineStr">
        <is>
          <t>Limited</t>
        </is>
      </c>
      <c r="J2" s="2" t="inlineStr">
        <is>
          <t>L</t>
        </is>
      </c>
      <c r="K2" s="2" t="inlineStr">
        <is>
          <t>Oil revenue stabilisation fund; depleted during 2014–17 oil price crash; balance not regularly disclosed.</t>
        </is>
      </c>
    </row>
    <row r="3" ht="23.25" customHeight="1" s="16">
      <c r="A3" s="2" t="inlineStr">
        <is>
          <t>Angola</t>
        </is>
      </c>
      <c r="B3" s="2" t="inlineStr">
        <is>
          <t>Fundo Soberano de Angola (FSDEA)</t>
        </is>
      </c>
      <c r="C3" s="2" t="inlineStr">
        <is>
          <t>Savings / Strategic</t>
        </is>
      </c>
      <c r="D3" s="2" t="n">
        <v>2012</v>
      </c>
      <c r="E3" s="2" t="n">
        <v>3400</v>
      </c>
      <c r="F3" s="2" t="n">
        <v>2023</v>
      </c>
      <c r="G3" s="2" t="inlineStr">
        <is>
          <t>USD</t>
        </is>
      </c>
      <c r="H3" s="2" t="inlineStr">
        <is>
          <t>Ministry of Finance</t>
        </is>
      </c>
      <c r="I3" s="2" t="inlineStr">
        <is>
          <t>Yes (annual report)</t>
        </is>
      </c>
      <c r="J3" s="2" t="inlineStr">
        <is>
          <t>H</t>
        </is>
      </c>
      <c r="K3" s="2" t="inlineStr">
        <is>
          <t>Has disclosed PE/infra allocations including African private equity exposure.</t>
        </is>
      </c>
    </row>
    <row r="4" ht="23.25" customHeight="1" s="16">
      <c r="A4" s="2" t="inlineStr">
        <is>
          <t>Botswana</t>
        </is>
      </c>
      <c r="B4" s="2" t="inlineStr">
        <is>
          <t>Pula Fund</t>
        </is>
      </c>
      <c r="C4" s="2" t="inlineStr">
        <is>
          <t>Savings</t>
        </is>
      </c>
      <c r="D4" s="2" t="n">
        <v>1994</v>
      </c>
      <c r="E4" s="2" t="n">
        <v>5000</v>
      </c>
      <c r="F4" s="2" t="n">
        <v>2024</v>
      </c>
      <c r="G4" s="2" t="inlineStr">
        <is>
          <t>USD/BWP</t>
        </is>
      </c>
      <c r="H4" s="2" t="inlineStr">
        <is>
          <t>Bank of Botswana</t>
        </is>
      </c>
      <c r="I4" s="2" t="inlineStr">
        <is>
          <t>Yes (BoB annual report)</t>
        </is>
      </c>
      <c r="J4" s="2" t="inlineStr">
        <is>
          <t>H</t>
        </is>
      </c>
      <c r="K4" s="2" t="inlineStr">
        <is>
          <t>Managed within Bank of Botswana FX reserves; primarily global fixed income &amp; equities, limited alts.</t>
        </is>
      </c>
    </row>
    <row r="5" ht="15" customHeight="1" s="16">
      <c r="A5" s="2" t="inlineStr">
        <is>
          <t>Djibouti</t>
        </is>
      </c>
      <c r="B5" s="2" t="inlineStr">
        <is>
          <t>Fonds Souverain de Djibouti (FSD)</t>
        </is>
      </c>
      <c r="C5" s="2" t="inlineStr">
        <is>
          <t>Strategic / Development</t>
        </is>
      </c>
      <c r="D5" s="2" t="n">
        <v>2020</v>
      </c>
      <c r="E5" s="2" t="n">
        <v>1500</v>
      </c>
      <c r="F5" s="2" t="n">
        <v>2024</v>
      </c>
      <c r="G5" s="2" t="inlineStr">
        <is>
          <t>USD</t>
        </is>
      </c>
      <c r="H5" s="2" t="inlineStr">
        <is>
          <t>Government of Djibouti</t>
        </is>
      </c>
      <c r="I5" s="2" t="inlineStr">
        <is>
          <t>Limited</t>
        </is>
      </c>
      <c r="J5" s="2" t="inlineStr">
        <is>
          <t>M</t>
        </is>
      </c>
      <c r="K5" s="2" t="inlineStr">
        <is>
          <t>Newer SWF; mandate includes domestic strategic investments.</t>
        </is>
      </c>
    </row>
    <row r="6" ht="23.25" customHeight="1" s="16">
      <c r="A6" s="2" t="inlineStr">
        <is>
          <t>Egypt</t>
        </is>
      </c>
      <c r="B6" s="2" t="inlineStr">
        <is>
          <t>The Sovereign Fund of Egypt (TSFE)</t>
        </is>
      </c>
      <c r="C6" s="2" t="inlineStr">
        <is>
          <t>Strategic / Development</t>
        </is>
      </c>
      <c r="D6" s="2" t="n">
        <v>2018</v>
      </c>
      <c r="E6" s="2" t="n">
        <v>2500</v>
      </c>
      <c r="F6" s="2" t="n">
        <v>2024</v>
      </c>
      <c r="G6" s="2" t="inlineStr">
        <is>
          <t>USD</t>
        </is>
      </c>
      <c r="H6" s="2" t="inlineStr">
        <is>
          <t>Government of Egypt</t>
        </is>
      </c>
      <c r="I6" s="2" t="inlineStr">
        <is>
          <t>Yes (annual report)</t>
        </is>
      </c>
      <c r="J6" s="2" t="inlineStr">
        <is>
          <t>H</t>
        </is>
      </c>
      <c r="K6" s="2" t="inlineStr">
        <is>
          <t>Active in SOE divestiture and co-investments; signed partnerships with ADQ, PIF, BlackRock.</t>
        </is>
      </c>
    </row>
    <row r="7" ht="15" customHeight="1" s="16">
      <c r="A7" s="2" t="inlineStr">
        <is>
          <t>Equatorial Guinea</t>
        </is>
      </c>
      <c r="B7" s="2" t="inlineStr">
        <is>
          <t>Fund for Future Generations (FFG)</t>
        </is>
      </c>
      <c r="C7" s="2" t="inlineStr">
        <is>
          <t>Savings</t>
        </is>
      </c>
      <c r="D7" s="2" t="n">
        <v>2002</v>
      </c>
      <c r="E7" s="2" t="n">
        <v>80</v>
      </c>
      <c r="F7" s="2" t="inlineStr">
        <is>
          <t>approx</t>
        </is>
      </c>
      <c r="G7" s="2" t="inlineStr">
        <is>
          <t>USD/XAF</t>
        </is>
      </c>
      <c r="H7" s="2" t="inlineStr">
        <is>
          <t>Ministry of Finance</t>
        </is>
      </c>
      <c r="I7" s="2" t="inlineStr">
        <is>
          <t>Very limited</t>
        </is>
      </c>
      <c r="J7" s="2" t="inlineStr">
        <is>
          <t>L</t>
        </is>
      </c>
      <c r="K7" s="2" t="inlineStr">
        <is>
          <t>Small, opaque oil-revenue savings vehicle.</t>
        </is>
      </c>
    </row>
    <row r="8" ht="23.25" customHeight="1" s="16">
      <c r="A8" s="2" t="inlineStr">
        <is>
          <t>Ethiopia</t>
        </is>
      </c>
      <c r="B8" s="2" t="inlineStr">
        <is>
          <t>Ethiopian Investment Holdings (EIH)</t>
        </is>
      </c>
      <c r="C8" s="2" t="inlineStr">
        <is>
          <t>Strategic (SOE holding)</t>
        </is>
      </c>
      <c r="D8" s="2" t="n">
        <v>2022</v>
      </c>
      <c r="E8" s="2" t="n">
        <v>38000</v>
      </c>
      <c r="F8" s="2" t="n">
        <v>2024</v>
      </c>
      <c r="G8" s="2" t="inlineStr">
        <is>
          <t>ETB</t>
        </is>
      </c>
      <c r="H8" s="2" t="inlineStr">
        <is>
          <t>Office of the Prime Minister</t>
        </is>
      </c>
      <c r="I8" s="2" t="inlineStr">
        <is>
          <t>Limited</t>
        </is>
      </c>
      <c r="J8" s="2" t="inlineStr">
        <is>
          <t>M</t>
        </is>
      </c>
      <c r="K8" s="2" t="inlineStr">
        <is>
          <t>Holds equity in major SOEs (Ethio Telecom, EthAir, CBE); AUM is book value of SOE stakes, not liquid investable capital.</t>
        </is>
      </c>
    </row>
    <row r="9" ht="23.25" customHeight="1" s="16">
      <c r="A9" s="2" t="inlineStr">
        <is>
          <t>Gabon</t>
        </is>
      </c>
      <c r="B9" s="2" t="inlineStr">
        <is>
          <t>Fonds Gabonais d'Investissements Stratégiques (FGIS)</t>
        </is>
      </c>
      <c r="C9" s="2" t="inlineStr">
        <is>
          <t>Strategic / Savings</t>
        </is>
      </c>
      <c r="D9" s="2" t="n">
        <v>2012</v>
      </c>
      <c r="E9" s="2" t="n">
        <v>1500</v>
      </c>
      <c r="F9" s="2" t="n">
        <v>2023</v>
      </c>
      <c r="G9" s="2" t="inlineStr">
        <is>
          <t>USD/XAF</t>
        </is>
      </c>
      <c r="H9" s="2" t="inlineStr">
        <is>
          <t>Government of Gabon</t>
        </is>
      </c>
      <c r="I9" s="2" t="inlineStr">
        <is>
          <t>Limited</t>
        </is>
      </c>
      <c r="J9" s="2" t="inlineStr">
        <is>
          <t>M</t>
        </is>
      </c>
      <c r="K9" s="2" t="inlineStr">
        <is>
          <t>Has stakes in Gabonese financial sector and Africa-focused infrastructure platforms.</t>
        </is>
      </c>
    </row>
    <row r="10" ht="23.25" customHeight="1" s="16">
      <c r="A10" s="2" t="inlineStr">
        <is>
          <t>Ghana</t>
        </is>
      </c>
      <c r="B10" s="2" t="inlineStr">
        <is>
          <t>Ghana Stabilisation Fund (GSF)</t>
        </is>
      </c>
      <c r="C10" s="2" t="inlineStr">
        <is>
          <t>Stabilisation</t>
        </is>
      </c>
      <c r="D10" s="2" t="n">
        <v>2011</v>
      </c>
      <c r="E10" s="2" t="n">
        <v>750</v>
      </c>
      <c r="F10" s="2" t="n">
        <v>2024</v>
      </c>
      <c r="G10" s="2" t="inlineStr">
        <is>
          <t>USD</t>
        </is>
      </c>
      <c r="H10" s="2" t="inlineStr">
        <is>
          <t>Ministry of Finance / BoG</t>
        </is>
      </c>
      <c r="I10" s="2" t="inlineStr">
        <is>
          <t>Yes (Petroleum Funds Report)</t>
        </is>
      </c>
      <c r="J10" s="2" t="inlineStr">
        <is>
          <t>H</t>
        </is>
      </c>
      <c r="K10" s="2" t="inlineStr">
        <is>
          <t>By law invested in high-grade fixed income; not in scope for alts.</t>
        </is>
      </c>
    </row>
    <row r="11" ht="23.25" customHeight="1" s="16">
      <c r="A11" s="2" t="inlineStr">
        <is>
          <t>Ghana</t>
        </is>
      </c>
      <c r="B11" s="2" t="inlineStr">
        <is>
          <t>Ghana Heritage Fund (GHF)</t>
        </is>
      </c>
      <c r="C11" s="2" t="inlineStr">
        <is>
          <t>Savings (intergenerational)</t>
        </is>
      </c>
      <c r="D11" s="2" t="n">
        <v>2011</v>
      </c>
      <c r="E11" s="2" t="n">
        <v>1100</v>
      </c>
      <c r="F11" s="2" t="n">
        <v>2024</v>
      </c>
      <c r="G11" s="2" t="inlineStr">
        <is>
          <t>USD</t>
        </is>
      </c>
      <c r="H11" s="2" t="inlineStr">
        <is>
          <t>Ministry of Finance / BoG</t>
        </is>
      </c>
      <c r="I11" s="2" t="inlineStr">
        <is>
          <t>Yes (Petroleum Funds Report)</t>
        </is>
      </c>
      <c r="J11" s="2" t="inlineStr">
        <is>
          <t>H</t>
        </is>
      </c>
      <c r="K11" s="2" t="inlineStr">
        <is>
          <t>By law invested in qualifying instruments; alts effectively prohibited.</t>
        </is>
      </c>
    </row>
    <row r="12" ht="15" customHeight="1" s="16">
      <c r="A12" s="2" t="inlineStr">
        <is>
          <t>Ghana</t>
        </is>
      </c>
      <c r="B12" s="2" t="inlineStr">
        <is>
          <t>Ghana Infrastructure Investment Fund (GIIF)</t>
        </is>
      </c>
      <c r="C12" s="2" t="inlineStr">
        <is>
          <t>Strategic / Infrastructure</t>
        </is>
      </c>
      <c r="D12" s="2" t="n">
        <v>2014</v>
      </c>
      <c r="E12" s="2" t="n">
        <v>400</v>
      </c>
      <c r="F12" s="2" t="n">
        <v>2023</v>
      </c>
      <c r="G12" s="2" t="inlineStr">
        <is>
          <t>USD</t>
        </is>
      </c>
      <c r="H12" s="2" t="inlineStr">
        <is>
          <t>Government of Ghana</t>
        </is>
      </c>
      <c r="I12" s="2" t="inlineStr">
        <is>
          <t>Limited</t>
        </is>
      </c>
      <c r="J12" s="2" t="inlineStr">
        <is>
          <t>M</t>
        </is>
      </c>
      <c r="K12" s="2" t="inlineStr">
        <is>
          <t>Mandate is infrastructure investment in Ghana; in scope for direct deals.</t>
        </is>
      </c>
    </row>
    <row r="13" ht="23.25" customHeight="1" s="16">
      <c r="A13" s="2" t="inlineStr">
        <is>
          <t>Libya</t>
        </is>
      </c>
      <c r="B13" s="2" t="inlineStr">
        <is>
          <t>Libyan Investment Authority (LIA)</t>
        </is>
      </c>
      <c r="C13" s="2" t="inlineStr">
        <is>
          <t>Savings / Strategic</t>
        </is>
      </c>
      <c r="D13" s="2" t="n">
        <v>2006</v>
      </c>
      <c r="E13" s="2" t="n">
        <v>67000</v>
      </c>
      <c r="F13" s="2" t="n">
        <v>2023</v>
      </c>
      <c r="G13" s="2" t="inlineStr">
        <is>
          <t>USD</t>
        </is>
      </c>
      <c r="H13" s="2" t="inlineStr">
        <is>
          <t>Government of Libya</t>
        </is>
      </c>
      <c r="I13" s="2" t="inlineStr">
        <is>
          <t>Limited (assets largely frozen)</t>
        </is>
      </c>
      <c r="J13" s="2" t="inlineStr">
        <is>
          <t>M</t>
        </is>
      </c>
      <c r="K13" s="2" t="inlineStr">
        <is>
          <t>Bulk of assets frozen under UN sanctions since 2011; governance contested.</t>
        </is>
      </c>
    </row>
    <row r="14" ht="23.25" customHeight="1" s="16">
      <c r="A14" s="2" t="inlineStr">
        <is>
          <t>Mauritania</t>
        </is>
      </c>
      <c r="B14" s="2" t="inlineStr">
        <is>
          <t>Fonds National des Revenus des Hydrocarbures (FNRH)</t>
        </is>
      </c>
      <c r="C14" s="2" t="inlineStr">
        <is>
          <t>Stabilisation / Savings</t>
        </is>
      </c>
      <c r="D14" s="2" t="n">
        <v>2006</v>
      </c>
      <c r="E14" s="2" t="n">
        <v>200</v>
      </c>
      <c r="F14" s="2" t="inlineStr">
        <is>
          <t>approx</t>
        </is>
      </c>
      <c r="G14" s="2" t="inlineStr">
        <is>
          <t>USD/MRU</t>
        </is>
      </c>
      <c r="H14" s="2" t="inlineStr">
        <is>
          <t>BCM / Ministry of Finance</t>
        </is>
      </c>
      <c r="I14" s="2" t="inlineStr">
        <is>
          <t>Limited</t>
        </is>
      </c>
      <c r="J14" s="2" t="inlineStr">
        <is>
          <t>L</t>
        </is>
      </c>
      <c r="K14" s="2" t="inlineStr">
        <is>
          <t>Small hydrocarbons revenue fund.</t>
        </is>
      </c>
    </row>
    <row r="15" ht="23.25" customHeight="1" s="16">
      <c r="A15" s="2" t="inlineStr">
        <is>
          <t>Morocco</t>
        </is>
      </c>
      <c r="B15" s="2" t="inlineStr">
        <is>
          <t>Ithmar Capital</t>
        </is>
      </c>
      <c r="C15" s="2" t="inlineStr">
        <is>
          <t>Strategic / Development</t>
        </is>
      </c>
      <c r="D15" s="2" t="n">
        <v>2011</v>
      </c>
      <c r="E15" s="2" t="n">
        <v>1000</v>
      </c>
      <c r="F15" s="2" t="n">
        <v>2023</v>
      </c>
      <c r="G15" s="2" t="inlineStr">
        <is>
          <t>USD</t>
        </is>
      </c>
      <c r="H15" s="2" t="inlineStr">
        <is>
          <t>Government of Morocco</t>
        </is>
      </c>
      <c r="I15" s="2" t="inlineStr">
        <is>
          <t>Yes</t>
        </is>
      </c>
      <c r="J15" s="2" t="inlineStr">
        <is>
          <t>H</t>
        </is>
      </c>
      <c r="K15" s="2" t="inlineStr">
        <is>
          <t>Tourism, hospitality, renewable infra mandate; co-investor with Green Africa Investment, AfDB.</t>
        </is>
      </c>
    </row>
    <row r="16" ht="23.25" customHeight="1" s="16">
      <c r="A16" s="2" t="inlineStr">
        <is>
          <t>Morocco</t>
        </is>
      </c>
      <c r="B16" s="2" t="inlineStr">
        <is>
          <t>Mohammed VI Fund for Investment</t>
        </is>
      </c>
      <c r="C16" s="2" t="inlineStr">
        <is>
          <t>Strategic</t>
        </is>
      </c>
      <c r="D16" s="2" t="n">
        <v>2020</v>
      </c>
      <c r="E16" s="2" t="n">
        <v>4500</v>
      </c>
      <c r="F16" s="2" t="n">
        <v>2024</v>
      </c>
      <c r="G16" s="2" t="inlineStr">
        <is>
          <t>USD/MAD</t>
        </is>
      </c>
      <c r="H16" s="2" t="inlineStr">
        <is>
          <t>Government of Morocco</t>
        </is>
      </c>
      <c r="I16" s="2" t="inlineStr">
        <is>
          <t>Limited</t>
        </is>
      </c>
      <c r="J16" s="2" t="inlineStr">
        <is>
          <t>M</t>
        </is>
      </c>
      <c r="K16" s="2" t="inlineStr">
        <is>
          <t>Capitalised at MAD 45bn (≈USD 4.5bn); mandates include backing of sectoral funds.</t>
        </is>
      </c>
    </row>
    <row r="17" ht="15" customHeight="1" s="16">
      <c r="A17" s="2" t="inlineStr">
        <is>
          <t>Namibia</t>
        </is>
      </c>
      <c r="B17" s="2" t="inlineStr">
        <is>
          <t>Welwitschia Sovereign Wealth Fund</t>
        </is>
      </c>
      <c r="C17" s="2" t="inlineStr">
        <is>
          <t>Savings</t>
        </is>
      </c>
      <c r="D17" s="2" t="n">
        <v>2022</v>
      </c>
      <c r="E17" s="2" t="n">
        <v>60</v>
      </c>
      <c r="F17" s="2" t="n">
        <v>2024</v>
      </c>
      <c r="G17" s="2" t="inlineStr">
        <is>
          <t>USD</t>
        </is>
      </c>
      <c r="H17" s="2" t="inlineStr">
        <is>
          <t>Bank of Namibia</t>
        </is>
      </c>
      <c r="I17" s="2" t="inlineStr">
        <is>
          <t>Limited</t>
        </is>
      </c>
      <c r="J17" s="2" t="inlineStr">
        <is>
          <t>L</t>
        </is>
      </c>
      <c r="K17" s="2" t="inlineStr">
        <is>
          <t>Newly established; very small.</t>
        </is>
      </c>
    </row>
    <row r="18" ht="34.5" customHeight="1" s="16">
      <c r="A18" s="2" t="inlineStr">
        <is>
          <t>Nigeria</t>
        </is>
      </c>
      <c r="B18" s="2" t="inlineStr">
        <is>
          <t>Nigeria Sovereign Investment Authority (NSIA)</t>
        </is>
      </c>
      <c r="C18" s="2" t="inlineStr">
        <is>
          <t>Savings + Stabilisation + Infrastructure (3 sub-funds)</t>
        </is>
      </c>
      <c r="D18" s="2" t="n">
        <v>2011</v>
      </c>
      <c r="E18" s="2" t="n">
        <v>2900</v>
      </c>
      <c r="F18" s="2" t="n">
        <v>2023</v>
      </c>
      <c r="G18" s="2" t="inlineStr">
        <is>
          <t>USD</t>
        </is>
      </c>
      <c r="H18" s="2" t="inlineStr">
        <is>
          <t>Federal Ministry of Finance</t>
        </is>
      </c>
      <c r="I18" s="2" t="inlineStr">
        <is>
          <t>Yes (annual report)</t>
        </is>
      </c>
      <c r="J18" s="2" t="inlineStr">
        <is>
          <t>H</t>
        </is>
      </c>
      <c r="K18" s="2" t="inlineStr">
        <is>
          <t>Most operationally relevant of the three sub-funds is the Nigeria Infrastructure Fund (NIF) — active co-investor.</t>
        </is>
      </c>
    </row>
    <row r="19" ht="15" customHeight="1" s="16">
      <c r="A19" s="2" t="inlineStr">
        <is>
          <t>Rwanda</t>
        </is>
      </c>
      <c r="B19" s="2" t="inlineStr">
        <is>
          <t>Agaciro Development Fund (AgDF)</t>
        </is>
      </c>
      <c r="C19" s="2" t="inlineStr">
        <is>
          <t>Savings / Strategic</t>
        </is>
      </c>
      <c r="D19" s="2" t="n">
        <v>2012</v>
      </c>
      <c r="E19" s="2" t="n">
        <v>220</v>
      </c>
      <c r="F19" s="2" t="n">
        <v>2023</v>
      </c>
      <c r="G19" s="2" t="inlineStr">
        <is>
          <t>USD/RWF</t>
        </is>
      </c>
      <c r="H19" s="2" t="inlineStr">
        <is>
          <t>Government of Rwanda</t>
        </is>
      </c>
      <c r="I19" s="2" t="inlineStr">
        <is>
          <t>Limited</t>
        </is>
      </c>
      <c r="J19" s="2" t="inlineStr">
        <is>
          <t>M</t>
        </is>
      </c>
      <c r="K19" s="2" t="inlineStr">
        <is>
          <t>Smaller fund but has made domestic strategic investments.</t>
        </is>
      </c>
    </row>
    <row r="20" ht="23.25" customHeight="1" s="16">
      <c r="A20" s="2" t="inlineStr">
        <is>
          <t>São Tomé and Príncipe</t>
        </is>
      </c>
      <c r="B20" s="2" t="inlineStr">
        <is>
          <t>National Oil Account</t>
        </is>
      </c>
      <c r="C20" s="2" t="inlineStr">
        <is>
          <t>Stabilisation / Savings</t>
        </is>
      </c>
      <c r="D20" s="2" t="n">
        <v>2004</v>
      </c>
      <c r="E20" s="2" t="n">
        <v>20</v>
      </c>
      <c r="F20" s="2" t="inlineStr">
        <is>
          <t>approx</t>
        </is>
      </c>
      <c r="G20" s="2" t="inlineStr">
        <is>
          <t>USD</t>
        </is>
      </c>
      <c r="H20" s="2" t="inlineStr">
        <is>
          <t>Central Bank of STP</t>
        </is>
      </c>
      <c r="I20" s="2" t="inlineStr">
        <is>
          <t>Limited</t>
        </is>
      </c>
      <c r="J20" s="2" t="inlineStr">
        <is>
          <t>L</t>
        </is>
      </c>
      <c r="K20" s="2" t="inlineStr">
        <is>
          <t>Small; oil revenues.</t>
        </is>
      </c>
    </row>
    <row r="21" ht="23.25" customHeight="1" s="16">
      <c r="A21" s="2" t="inlineStr">
        <is>
          <t>Senegal</t>
        </is>
      </c>
      <c r="B21" s="2" t="inlineStr">
        <is>
          <t>Fonds Souverain d'Investissements Stratégiques (FONSIS)</t>
        </is>
      </c>
      <c r="C21" s="2" t="inlineStr">
        <is>
          <t>Strategic / Development</t>
        </is>
      </c>
      <c r="D21" s="2" t="n">
        <v>2012</v>
      </c>
      <c r="E21" s="2" t="n">
        <v>1000</v>
      </c>
      <c r="F21" s="2" t="n">
        <v>2023</v>
      </c>
      <c r="G21" s="2" t="inlineStr">
        <is>
          <t>USD/XOF</t>
        </is>
      </c>
      <c r="H21" s="2" t="inlineStr">
        <is>
          <t>Government of Senegal</t>
        </is>
      </c>
      <c r="I21" s="2" t="inlineStr">
        <is>
          <t>Yes (annual report)</t>
        </is>
      </c>
      <c r="J21" s="2" t="inlineStr">
        <is>
          <t>H</t>
        </is>
      </c>
      <c r="K21" s="2" t="inlineStr">
        <is>
          <t>Active strategic investor; portfolio includes hotels, agribusiness, infra; co-invests with DFIs.</t>
        </is>
      </c>
    </row>
    <row r="22" ht="15" customHeight="1" s="16">
      <c r="A22" s="2" t="inlineStr">
        <is>
          <t>Zimbabwe</t>
        </is>
      </c>
      <c r="B22" s="2" t="inlineStr">
        <is>
          <t>Sovereign Wealth Fund of Zimbabwe (SWFZ)</t>
        </is>
      </c>
      <c r="C22" s="2" t="inlineStr">
        <is>
          <t>Savings / Strategic</t>
        </is>
      </c>
      <c r="D22" s="2" t="n">
        <v>2014</v>
      </c>
      <c r="E22" s="2" t="n">
        <v>0</v>
      </c>
      <c r="F22" s="2" t="inlineStr">
        <is>
          <t>n/a</t>
        </is>
      </c>
      <c r="G22" s="2" t="inlineStr">
        <is>
          <t>USD</t>
        </is>
      </c>
      <c r="H22" s="2" t="inlineStr">
        <is>
          <t>Government of Zimbabwe</t>
        </is>
      </c>
      <c r="I22" s="2" t="inlineStr">
        <is>
          <t>Limited</t>
        </is>
      </c>
      <c r="J22" s="2" t="inlineStr">
        <is>
          <t>L</t>
        </is>
      </c>
      <c r="K22" s="2" t="inlineStr">
        <is>
          <t>Established by law but minimally capitalised; effectively dormant.</t>
        </is>
      </c>
    </row>
    <row r="23" ht="23.25" customHeight="1" s="16">
      <c r="A23" s="2" t="inlineStr">
        <is>
          <t>Kenya</t>
        </is>
      </c>
      <c r="B23" s="2" t="inlineStr">
        <is>
          <t>Kenya Sovereign Wealth Fund (proposed)</t>
        </is>
      </c>
      <c r="C23" s="2" t="inlineStr">
        <is>
          <t>Planned</t>
        </is>
      </c>
      <c r="D23" s="2" t="inlineStr">
        <is>
          <t>TBD</t>
        </is>
      </c>
      <c r="E23" s="2" t="n">
        <v>0</v>
      </c>
      <c r="F23" s="2" t="inlineStr">
        <is>
          <t>n/a</t>
        </is>
      </c>
      <c r="G23" s="2" t="inlineStr">
        <is>
          <t>n/a</t>
        </is>
      </c>
      <c r="H23" s="2" t="inlineStr">
        <is>
          <t>Treasury / CBK</t>
        </is>
      </c>
      <c r="I23" s="2" t="inlineStr">
        <is>
          <t>n/a</t>
        </is>
      </c>
      <c r="J23" s="2" t="inlineStr">
        <is>
          <t>L</t>
        </is>
      </c>
      <c r="K23" s="2" t="inlineStr">
        <is>
          <t>Discussed for over a decade; no operating fund. Exclude from active universe.</t>
        </is>
      </c>
    </row>
    <row r="24" ht="15" customHeight="1" s="16">
      <c r="A24" s="2" t="inlineStr">
        <is>
          <t>Tanzania</t>
        </is>
      </c>
      <c r="B24" s="2" t="inlineStr">
        <is>
          <t>Tanzania SWF (proposed for gas revenues)</t>
        </is>
      </c>
      <c r="C24" s="2" t="inlineStr">
        <is>
          <t>Planned</t>
        </is>
      </c>
      <c r="D24" s="2" t="inlineStr">
        <is>
          <t>TBD</t>
        </is>
      </c>
      <c r="E24" s="2" t="n">
        <v>0</v>
      </c>
      <c r="F24" s="2" t="inlineStr">
        <is>
          <t>n/a</t>
        </is>
      </c>
      <c r="G24" s="2" t="inlineStr">
        <is>
          <t>n/a</t>
        </is>
      </c>
      <c r="H24" s="2" t="inlineStr">
        <is>
          <t>Ministry of Finance</t>
        </is>
      </c>
      <c r="I24" s="2" t="inlineStr">
        <is>
          <t>n/a</t>
        </is>
      </c>
      <c r="J24" s="2" t="inlineStr">
        <is>
          <t>L</t>
        </is>
      </c>
      <c r="K24" s="2" t="inlineStr">
        <is>
          <t>Not yet operational.</t>
        </is>
      </c>
    </row>
    <row r="25" ht="23.25" customHeight="1" s="16">
      <c r="A25" s="2" t="inlineStr">
        <is>
          <t>Uganda</t>
        </is>
      </c>
      <c r="B25" s="2" t="inlineStr">
        <is>
          <t>Petroleum Revenue Investment Reserve (PRIR)</t>
        </is>
      </c>
      <c r="C25" s="2" t="inlineStr">
        <is>
          <t>Stabilisation / Savings</t>
        </is>
      </c>
      <c r="D25" s="2" t="n">
        <v>2015</v>
      </c>
      <c r="E25" s="2" t="n">
        <v>100</v>
      </c>
      <c r="F25" s="2" t="n">
        <v>2024</v>
      </c>
      <c r="G25" s="2" t="inlineStr">
        <is>
          <t>USD/UGX</t>
        </is>
      </c>
      <c r="H25" s="2" t="inlineStr">
        <is>
          <t>Bank of Uganda</t>
        </is>
      </c>
      <c r="I25" s="2" t="inlineStr">
        <is>
          <t>Yes (BoU)</t>
        </is>
      </c>
      <c r="J25" s="2" t="inlineStr">
        <is>
          <t>M</t>
        </is>
      </c>
      <c r="K25" s="2" t="inlineStr">
        <is>
          <t>Petroleum Fund under PFMA 2015; small balance pending major oil production.</t>
        </is>
      </c>
    </row>
    <row r="26" ht="15" customHeight="1" s="16">
      <c r="A26" s="2" t="inlineStr">
        <is>
          <t>Cabo Verde</t>
        </is>
      </c>
      <c r="B26" s="2" t="inlineStr">
        <is>
          <t>—</t>
        </is>
      </c>
      <c r="C26" s="2" t="inlineStr">
        <is>
          <t>n/a</t>
        </is>
      </c>
      <c r="D26" s="2" t="inlineStr">
        <is>
          <t>n/a</t>
        </is>
      </c>
      <c r="E26" s="2" t="n">
        <v>0</v>
      </c>
      <c r="F26" s="2" t="inlineStr">
        <is>
          <t>n/a</t>
        </is>
      </c>
      <c r="G26" s="2" t="inlineStr">
        <is>
          <t>n/a</t>
        </is>
      </c>
      <c r="H26" s="2" t="inlineStr">
        <is>
          <t>n/a</t>
        </is>
      </c>
      <c r="I26" s="2" t="inlineStr">
        <is>
          <t>n/a</t>
        </is>
      </c>
      <c r="J26" s="2" t="inlineStr">
        <is>
          <t>n/a</t>
        </is>
      </c>
      <c r="K26" s="2" t="inlineStr">
        <is>
          <t>No SWF.</t>
        </is>
      </c>
    </row>
    <row r="27" ht="23.25" customHeight="1" s="16">
      <c r="A27" s="2" t="inlineStr">
        <is>
          <t>Chad</t>
        </is>
      </c>
      <c r="B27" s="2" t="inlineStr">
        <is>
          <t>Fonds de Stabilisation des Recettes Pétrolières (defunct)</t>
        </is>
      </c>
      <c r="C27" s="2" t="inlineStr">
        <is>
          <t>Stabilisation</t>
        </is>
      </c>
      <c r="D27" s="2" t="n">
        <v>1999</v>
      </c>
      <c r="E27" s="2" t="n">
        <v>0</v>
      </c>
      <c r="F27" s="2" t="inlineStr">
        <is>
          <t>n/a</t>
        </is>
      </c>
      <c r="G27" s="2" t="inlineStr">
        <is>
          <t>n/a</t>
        </is>
      </c>
      <c r="H27" s="2" t="inlineStr">
        <is>
          <t>Ministry of Finance</t>
        </is>
      </c>
      <c r="I27" s="2" t="inlineStr">
        <is>
          <t>n/a</t>
        </is>
      </c>
      <c r="J27" s="2" t="inlineStr">
        <is>
          <t>L</t>
        </is>
      </c>
      <c r="K27" s="2" t="inlineStr">
        <is>
          <t>Effectively wound down.</t>
        </is>
      </c>
    </row>
  </sheetData>
  <autoFilter ref="A1:K27"/>
  <conditionalFormatting sqref="J2:J27">
    <cfRule type="cellIs" priority="2" operator="equal" dxfId="2">
      <formula>"H"</formula>
    </cfRule>
    <cfRule type="cellIs" priority="3" operator="equal" dxfId="1">
      <formula>"M"</formula>
    </cfRule>
    <cfRule type="cellIs" priority="4" operator="equal" dxfId="0">
      <formula>"L"</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230"/>
  <sheetViews>
    <sheetView zoomScaleNormal="100" workbookViewId="0">
      <pane ySplit="1" topLeftCell="A2" activePane="bottomLeft" state="frozen"/>
      <selection pane="bottomLeft" activeCell="A1" sqref="A1"/>
    </sheetView>
  </sheetViews>
  <sheetFormatPr baseColWidth="8" defaultColWidth="8.7109375" defaultRowHeight="15"/>
  <cols>
    <col width="18" customWidth="1" style="16" min="1" max="1"/>
    <col width="48" customWidth="1" style="16" min="2" max="2"/>
    <col width="28" customWidth="1" style="16" min="3" max="3"/>
    <col width="12" customWidth="1" style="16" min="4" max="4"/>
    <col width="16" customWidth="1" style="16" min="5" max="5"/>
    <col width="12" customWidth="1" style="16" min="6" max="6"/>
    <col width="14" customWidth="1" style="16" min="7" max="7"/>
    <col width="24" customWidth="1" style="16" min="8" max="8"/>
    <col width="22" customWidth="1" style="16" min="9" max="9"/>
    <col width="12" customWidth="1" style="16" min="10" max="10"/>
    <col width="60" customWidth="1" style="16" min="11" max="11"/>
  </cols>
  <sheetData>
    <row r="1" ht="23.25" customHeight="1" s="16">
      <c r="A1" s="1" t="inlineStr">
        <is>
          <t>Country</t>
        </is>
      </c>
      <c r="B1" s="1" t="inlineStr">
        <is>
          <t>Institution</t>
        </is>
      </c>
      <c r="C1" s="1" t="inlineStr">
        <is>
          <t>Type</t>
        </is>
      </c>
      <c r="D1" s="1" t="inlineStr">
        <is>
          <t>Established</t>
        </is>
      </c>
      <c r="E1" s="1" t="inlineStr">
        <is>
          <t>AUM (USD m, approx)</t>
        </is>
      </c>
      <c r="F1" s="1" t="inlineStr">
        <is>
          <t>As-of year</t>
        </is>
      </c>
      <c r="G1" s="1" t="inlineStr">
        <is>
          <t>Currency basis (local)</t>
        </is>
      </c>
      <c r="H1" s="1" t="inlineStr">
        <is>
          <t>Regulator</t>
        </is>
      </c>
      <c r="I1" s="1" t="inlineStr">
        <is>
          <t>Public reporting</t>
        </is>
      </c>
      <c r="J1" s="1" t="inlineStr">
        <is>
          <t>Confidence</t>
        </is>
      </c>
      <c r="K1" s="1" t="inlineStr">
        <is>
          <t>Notes</t>
        </is>
      </c>
    </row>
    <row r="2" ht="23.25" customHeight="1" s="16">
      <c r="A2" s="2" t="inlineStr">
        <is>
          <t>South Africa</t>
        </is>
      </c>
      <c r="B2" s="2" t="inlineStr">
        <is>
          <t>Government Employees Pension Fund (GEPF)</t>
        </is>
      </c>
      <c r="C2" s="2" t="inlineStr">
        <is>
          <t>Defined benefit, public sector</t>
        </is>
      </c>
      <c r="D2" s="2" t="n">
        <v>1996</v>
      </c>
      <c r="E2" s="2" t="n">
        <v>125000</v>
      </c>
      <c r="F2" s="2" t="n">
        <v>2024</v>
      </c>
      <c r="G2" s="2" t="inlineStr">
        <is>
          <t>ZAR</t>
        </is>
      </c>
      <c r="H2" s="2" t="inlineStr">
        <is>
          <t>FSCA + PIC (manager)</t>
        </is>
      </c>
      <c r="I2" s="2" t="inlineStr">
        <is>
          <t>Yes (annual report)</t>
        </is>
      </c>
      <c r="J2" s="2" t="inlineStr">
        <is>
          <t>H</t>
        </is>
      </c>
      <c r="K2" s="2" t="inlineStr">
        <is>
          <t>Largest pension fund in Africa; managed by PIC. Reg 28 allows up to 15% in private markets including ~10% in Africa-ex-SA assets.</t>
        </is>
      </c>
    </row>
    <row r="3" ht="15" customHeight="1" s="16">
      <c r="A3" s="2" t="inlineStr">
        <is>
          <t>South Africa</t>
        </is>
      </c>
      <c r="B3" s="2" t="inlineStr">
        <is>
          <t>Eskom Pension and Provident Fund (EPPF)</t>
        </is>
      </c>
      <c r="C3" s="2" t="inlineStr">
        <is>
          <t>Hybrid, parastatal</t>
        </is>
      </c>
      <c r="D3" s="2" t="n">
        <v>1973</v>
      </c>
      <c r="E3" s="2" t="n">
        <v>10000</v>
      </c>
      <c r="F3" s="2" t="n">
        <v>2024</v>
      </c>
      <c r="G3" s="2" t="inlineStr">
        <is>
          <t>ZAR</t>
        </is>
      </c>
      <c r="H3" s="2" t="inlineStr">
        <is>
          <t>FSCA</t>
        </is>
      </c>
      <c r="I3" s="2" t="inlineStr">
        <is>
          <t>Yes</t>
        </is>
      </c>
      <c r="J3" s="2" t="inlineStr">
        <is>
          <t>H</t>
        </is>
      </c>
      <c r="K3" s="2" t="inlineStr">
        <is>
          <t>Active in SA and Africa alternatives via mandate managers.</t>
        </is>
      </c>
    </row>
    <row r="4" ht="15" customHeight="1" s="16">
      <c r="A4" s="2" t="inlineStr">
        <is>
          <t>South Africa</t>
        </is>
      </c>
      <c r="B4" s="2" t="inlineStr">
        <is>
          <t>Transnet Retirement Fund</t>
        </is>
      </c>
      <c r="C4" s="2" t="inlineStr">
        <is>
          <t>DC, parastatal</t>
        </is>
      </c>
      <c r="D4" s="2" t="n">
        <v>2000</v>
      </c>
      <c r="E4" s="2" t="n">
        <v>5500</v>
      </c>
      <c r="F4" s="2" t="n">
        <v>2024</v>
      </c>
      <c r="G4" s="2" t="inlineStr">
        <is>
          <t>ZAR</t>
        </is>
      </c>
      <c r="H4" s="2" t="inlineStr">
        <is>
          <t>FSCA</t>
        </is>
      </c>
      <c r="I4" s="2" t="inlineStr">
        <is>
          <t>Yes</t>
        </is>
      </c>
      <c r="J4" s="2" t="inlineStr">
        <is>
          <t>H</t>
        </is>
      </c>
      <c r="K4" s="2" t="inlineStr">
        <is>
          <t>Also: Transnet Second Defined Benefit Fund.</t>
        </is>
      </c>
    </row>
    <row r="5" ht="15" customHeight="1" s="16">
      <c r="A5" s="2" t="inlineStr">
        <is>
          <t>South Africa</t>
        </is>
      </c>
      <c r="B5" s="2" t="inlineStr">
        <is>
          <t>Sentinel Retirement Fund</t>
        </is>
      </c>
      <c r="C5" s="2" t="inlineStr">
        <is>
          <t>DC, multi-employer (mining)</t>
        </is>
      </c>
      <c r="D5" s="2" t="n">
        <v>1946</v>
      </c>
      <c r="E5" s="2" t="n">
        <v>6000</v>
      </c>
      <c r="F5" s="2" t="n">
        <v>2024</v>
      </c>
      <c r="G5" s="2" t="inlineStr">
        <is>
          <t>ZAR</t>
        </is>
      </c>
      <c r="H5" s="2" t="inlineStr">
        <is>
          <t>FSCA</t>
        </is>
      </c>
      <c r="I5" s="2" t="inlineStr">
        <is>
          <t>Yes</t>
        </is>
      </c>
      <c r="J5" s="2" t="inlineStr">
        <is>
          <t>H</t>
        </is>
      </c>
      <c r="K5" s="2" t="inlineStr">
        <is>
          <t>Mining industry; uses external alts mandates.</t>
        </is>
      </c>
    </row>
    <row r="6" ht="15" customHeight="1" s="16">
      <c r="A6" s="2" t="inlineStr">
        <is>
          <t>South Africa</t>
        </is>
      </c>
      <c r="B6" s="2" t="inlineStr">
        <is>
          <t>Sasol Pension Fund</t>
        </is>
      </c>
      <c r="C6" s="2" t="inlineStr">
        <is>
          <t>Hybrid, corporate</t>
        </is>
      </c>
      <c r="D6" s="2" t="n">
        <v>1953</v>
      </c>
      <c r="E6" s="2" t="n">
        <v>2000</v>
      </c>
      <c r="F6" s="2" t="n">
        <v>2023</v>
      </c>
      <c r="G6" s="2" t="inlineStr">
        <is>
          <t>ZAR</t>
        </is>
      </c>
      <c r="H6" s="2" t="inlineStr">
        <is>
          <t>FSCA</t>
        </is>
      </c>
      <c r="I6" s="2" t="inlineStr">
        <is>
          <t>Yes</t>
        </is>
      </c>
      <c r="J6" s="2" t="inlineStr">
        <is>
          <t>M</t>
        </is>
      </c>
      <c r="K6" s="2" t="inlineStr">
        <is>
          <t>Corporate scheme.</t>
        </is>
      </c>
    </row>
    <row r="7" ht="15" customHeight="1" s="16">
      <c r="A7" s="2" t="inlineStr">
        <is>
          <t>South Africa</t>
        </is>
      </c>
      <c r="B7" s="2" t="inlineStr">
        <is>
          <t>Telkom Retirement Fund</t>
        </is>
      </c>
      <c r="C7" s="2" t="inlineStr">
        <is>
          <t>DC, parastatal</t>
        </is>
      </c>
      <c r="D7" s="2" t="n">
        <v>1992</v>
      </c>
      <c r="E7" s="2" t="n">
        <v>2500</v>
      </c>
      <c r="F7" s="2" t="n">
        <v>2023</v>
      </c>
      <c r="G7" s="2" t="inlineStr">
        <is>
          <t>ZAR</t>
        </is>
      </c>
      <c r="H7" s="2" t="inlineStr">
        <is>
          <t>FSCA</t>
        </is>
      </c>
      <c r="I7" s="2" t="inlineStr">
        <is>
          <t>Yes</t>
        </is>
      </c>
      <c r="J7" s="2" t="inlineStr">
        <is>
          <t>M</t>
        </is>
      </c>
      <c r="K7" s="2" t="inlineStr">
        <is>
          <t>Parastatal scheme.</t>
        </is>
      </c>
    </row>
    <row r="8" ht="15" customHeight="1" s="16">
      <c r="A8" s="2" t="inlineStr">
        <is>
          <t>South Africa</t>
        </is>
      </c>
      <c r="B8" s="2" t="inlineStr">
        <is>
          <t>AECI Pension Fund</t>
        </is>
      </c>
      <c r="C8" s="2" t="inlineStr">
        <is>
          <t>Corporate</t>
        </is>
      </c>
      <c r="D8" s="2" t="n">
        <v>1923</v>
      </c>
      <c r="E8" s="2" t="n">
        <v>1500</v>
      </c>
      <c r="F8" s="2" t="n">
        <v>2023</v>
      </c>
      <c r="G8" s="2" t="inlineStr">
        <is>
          <t>ZAR</t>
        </is>
      </c>
      <c r="H8" s="2" t="inlineStr">
        <is>
          <t>FSCA</t>
        </is>
      </c>
      <c r="I8" s="2" t="inlineStr">
        <is>
          <t>Yes</t>
        </is>
      </c>
      <c r="J8" s="2" t="inlineStr">
        <is>
          <t>M</t>
        </is>
      </c>
      <c r="K8" s="2" t="inlineStr">
        <is>
          <t>Long-running industrial pension.</t>
        </is>
      </c>
    </row>
    <row r="9" ht="15" customHeight="1" s="16">
      <c r="A9" s="2" t="inlineStr">
        <is>
          <t>South Africa</t>
        </is>
      </c>
      <c r="B9" s="2" t="inlineStr">
        <is>
          <t>Municipal Employees' Pension Fund (MEPF)</t>
        </is>
      </c>
      <c r="C9" s="2" t="inlineStr">
        <is>
          <t>Public sector</t>
        </is>
      </c>
      <c r="D9" s="2" t="n">
        <v>1986</v>
      </c>
      <c r="E9" s="2" t="n">
        <v>2000</v>
      </c>
      <c r="F9" s="2" t="n">
        <v>2023</v>
      </c>
      <c r="G9" s="2" t="inlineStr">
        <is>
          <t>ZAR</t>
        </is>
      </c>
      <c r="H9" s="2" t="inlineStr">
        <is>
          <t>FSCA</t>
        </is>
      </c>
      <c r="I9" s="2" t="inlineStr">
        <is>
          <t>Yes</t>
        </is>
      </c>
      <c r="J9" s="2" t="inlineStr">
        <is>
          <t>M</t>
        </is>
      </c>
      <c r="K9" s="2" t="inlineStr">
        <is>
          <t>Local government employees.</t>
        </is>
      </c>
    </row>
    <row r="10" ht="15" customHeight="1" s="16">
      <c r="A10" s="2" t="inlineStr">
        <is>
          <t>South Africa</t>
        </is>
      </c>
      <c r="B10" s="2" t="inlineStr">
        <is>
          <t>Municipal Workers Retirement Fund (MWRF)</t>
        </is>
      </c>
      <c r="C10" s="2" t="inlineStr">
        <is>
          <t>Public sector</t>
        </is>
      </c>
      <c r="D10" s="2" t="n">
        <v>1996</v>
      </c>
      <c r="E10" s="2" t="n">
        <v>1500</v>
      </c>
      <c r="F10" s="2" t="n">
        <v>2023</v>
      </c>
      <c r="G10" s="2" t="inlineStr">
        <is>
          <t>ZAR</t>
        </is>
      </c>
      <c r="H10" s="2" t="inlineStr">
        <is>
          <t>FSCA</t>
        </is>
      </c>
      <c r="I10" s="2" t="inlineStr">
        <is>
          <t>Yes</t>
        </is>
      </c>
      <c r="J10" s="2" t="inlineStr">
        <is>
          <t>M</t>
        </is>
      </c>
      <c r="K10" s="2" t="inlineStr">
        <is>
          <t>Local government employees.</t>
        </is>
      </c>
    </row>
    <row r="11" ht="15" customHeight="1" s="16">
      <c r="A11" s="2" t="inlineStr">
        <is>
          <t>South Africa</t>
        </is>
      </c>
      <c r="B11" s="2" t="inlineStr">
        <is>
          <t>Mineworkers Provident Fund (MWPF)</t>
        </is>
      </c>
      <c r="C11" s="2" t="inlineStr">
        <is>
          <t>Multi-employer (mining)</t>
        </is>
      </c>
      <c r="D11" s="2" t="n">
        <v>1989</v>
      </c>
      <c r="E11" s="2" t="n">
        <v>1200</v>
      </c>
      <c r="F11" s="2" t="n">
        <v>2023</v>
      </c>
      <c r="G11" s="2" t="inlineStr">
        <is>
          <t>ZAR</t>
        </is>
      </c>
      <c r="H11" s="2" t="inlineStr">
        <is>
          <t>FSCA</t>
        </is>
      </c>
      <c r="I11" s="2" t="inlineStr">
        <is>
          <t>Yes</t>
        </is>
      </c>
      <c r="J11" s="2" t="inlineStr">
        <is>
          <t>M</t>
        </is>
      </c>
      <c r="K11" s="2" t="inlineStr">
        <is>
          <t>Industry scheme.</t>
        </is>
      </c>
    </row>
    <row r="12" ht="15" customHeight="1" s="16">
      <c r="A12" s="2" t="inlineStr">
        <is>
          <t>South Africa</t>
        </is>
      </c>
      <c r="B12" s="2" t="inlineStr">
        <is>
          <t>Old Mutual Super Fund (umbrella)</t>
        </is>
      </c>
      <c r="C12" s="2" t="inlineStr">
        <is>
          <t>Umbrella DC</t>
        </is>
      </c>
      <c r="D12" s="2" t="n">
        <v>2003</v>
      </c>
      <c r="E12" s="2" t="n">
        <v>8000</v>
      </c>
      <c r="F12" s="2" t="n">
        <v>2024</v>
      </c>
      <c r="G12" s="2" t="inlineStr">
        <is>
          <t>ZAR</t>
        </is>
      </c>
      <c r="H12" s="2" t="inlineStr">
        <is>
          <t>FSCA</t>
        </is>
      </c>
      <c r="I12" s="2" t="inlineStr">
        <is>
          <t>Yes</t>
        </is>
      </c>
      <c r="J12" s="2" t="inlineStr">
        <is>
          <t>M</t>
        </is>
      </c>
      <c r="K12" s="2" t="inlineStr">
        <is>
          <t>Umbrella fund — large indirect asset owner.</t>
        </is>
      </c>
    </row>
    <row r="13" ht="15" customHeight="1" s="16">
      <c r="A13" s="2" t="inlineStr">
        <is>
          <t>South Africa</t>
        </is>
      </c>
      <c r="B13" s="2" t="inlineStr">
        <is>
          <t>Sanlam Umbrella Fund</t>
        </is>
      </c>
      <c r="C13" s="2" t="inlineStr">
        <is>
          <t>Umbrella DC</t>
        </is>
      </c>
      <c r="D13" s="2" t="n">
        <v>2007</v>
      </c>
      <c r="E13" s="2" t="n">
        <v>10000</v>
      </c>
      <c r="F13" s="2" t="n">
        <v>2024</v>
      </c>
      <c r="G13" s="2" t="inlineStr">
        <is>
          <t>ZAR</t>
        </is>
      </c>
      <c r="H13" s="2" t="inlineStr">
        <is>
          <t>FSCA</t>
        </is>
      </c>
      <c r="I13" s="2" t="inlineStr">
        <is>
          <t>Yes</t>
        </is>
      </c>
      <c r="J13" s="2" t="inlineStr">
        <is>
          <t>M</t>
        </is>
      </c>
      <c r="K13" s="2" t="inlineStr">
        <is>
          <t>Umbrella fund.</t>
        </is>
      </c>
    </row>
    <row r="14" ht="15" customHeight="1" s="16">
      <c r="A14" s="2" t="inlineStr">
        <is>
          <t>South Africa</t>
        </is>
      </c>
      <c r="B14" s="2" t="inlineStr">
        <is>
          <t>Alexforbes Retirement Fund (AF Umbrella)</t>
        </is>
      </c>
      <c r="C14" s="2" t="inlineStr">
        <is>
          <t>Umbrella DC</t>
        </is>
      </c>
      <c r="D14" s="2" t="n">
        <v>2005</v>
      </c>
      <c r="E14" s="2" t="n">
        <v>9000</v>
      </c>
      <c r="F14" s="2" t="n">
        <v>2024</v>
      </c>
      <c r="G14" s="2" t="inlineStr">
        <is>
          <t>ZAR</t>
        </is>
      </c>
      <c r="H14" s="2" t="inlineStr">
        <is>
          <t>FSCA</t>
        </is>
      </c>
      <c r="I14" s="2" t="inlineStr">
        <is>
          <t>Yes</t>
        </is>
      </c>
      <c r="J14" s="2" t="inlineStr">
        <is>
          <t>M</t>
        </is>
      </c>
      <c r="K14" s="2" t="inlineStr">
        <is>
          <t>Umbrella fund.</t>
        </is>
      </c>
    </row>
    <row r="15" ht="15" customHeight="1" s="16">
      <c r="A15" s="2" t="inlineStr">
        <is>
          <t>Nigeria</t>
        </is>
      </c>
      <c r="B15" s="2" t="inlineStr">
        <is>
          <t>Stanbic IBTC Pension Managers</t>
        </is>
      </c>
      <c r="C15" s="2" t="inlineStr">
        <is>
          <t>PFA</t>
        </is>
      </c>
      <c r="D15" s="2" t="n">
        <v>2004</v>
      </c>
      <c r="E15" s="2" t="n">
        <v>3500</v>
      </c>
      <c r="F15" s="2" t="n">
        <v>2024</v>
      </c>
      <c r="G15" s="2" t="inlineStr">
        <is>
          <t>NGN</t>
        </is>
      </c>
      <c r="H15" s="2" t="inlineStr">
        <is>
          <t>PenCom</t>
        </is>
      </c>
      <c r="I15" s="2" t="inlineStr">
        <is>
          <t>Yes (PenCom returns)</t>
        </is>
      </c>
      <c r="J15" s="2" t="inlineStr">
        <is>
          <t>H</t>
        </is>
      </c>
      <c r="K15" s="2" t="inlineStr">
        <is>
          <t>Largest PFA by AUM.</t>
        </is>
      </c>
    </row>
    <row r="16" ht="15" customHeight="1" s="16">
      <c r="A16" s="2" t="inlineStr">
        <is>
          <t>Nigeria</t>
        </is>
      </c>
      <c r="B16" s="2" t="inlineStr">
        <is>
          <t>ARM Pension Managers</t>
        </is>
      </c>
      <c r="C16" s="2" t="inlineStr">
        <is>
          <t>PFA</t>
        </is>
      </c>
      <c r="D16" s="2" t="n">
        <v>2005</v>
      </c>
      <c r="E16" s="2" t="n">
        <v>1800</v>
      </c>
      <c r="F16" s="2" t="n">
        <v>2024</v>
      </c>
      <c r="G16" s="2" t="inlineStr">
        <is>
          <t>NGN</t>
        </is>
      </c>
      <c r="H16" s="2" t="inlineStr">
        <is>
          <t>PenCom</t>
        </is>
      </c>
      <c r="I16" s="2" t="inlineStr">
        <is>
          <t>Yes</t>
        </is>
      </c>
      <c r="J16" s="2" t="inlineStr">
        <is>
          <t>H</t>
        </is>
      </c>
      <c r="K16" s="2" t="n"/>
    </row>
    <row r="17" ht="15" customHeight="1" s="16">
      <c r="A17" s="2" t="inlineStr">
        <is>
          <t>Nigeria</t>
        </is>
      </c>
      <c r="B17" s="2" t="inlineStr">
        <is>
          <t>Premium Pension Limited</t>
        </is>
      </c>
      <c r="C17" s="2" t="inlineStr">
        <is>
          <t>PFA</t>
        </is>
      </c>
      <c r="D17" s="2" t="n">
        <v>2005</v>
      </c>
      <c r="E17" s="2" t="n">
        <v>1500</v>
      </c>
      <c r="F17" s="2" t="n">
        <v>2024</v>
      </c>
      <c r="G17" s="2" t="inlineStr">
        <is>
          <t>NGN</t>
        </is>
      </c>
      <c r="H17" s="2" t="inlineStr">
        <is>
          <t>PenCom</t>
        </is>
      </c>
      <c r="I17" s="2" t="inlineStr">
        <is>
          <t>Yes</t>
        </is>
      </c>
      <c r="J17" s="2" t="inlineStr">
        <is>
          <t>H</t>
        </is>
      </c>
      <c r="K17" s="2" t="n"/>
    </row>
    <row r="18" ht="15" customHeight="1" s="16">
      <c r="A18" s="2" t="inlineStr">
        <is>
          <t>Nigeria</t>
        </is>
      </c>
      <c r="B18" s="2" t="inlineStr">
        <is>
          <t>Tangerine APT Pensions (post-merger)</t>
        </is>
      </c>
      <c r="C18" s="2" t="inlineStr">
        <is>
          <t>PFA</t>
        </is>
      </c>
      <c r="D18" s="2" t="n">
        <v>2005</v>
      </c>
      <c r="E18" s="2" t="n">
        <v>1200</v>
      </c>
      <c r="F18" s="2" t="n">
        <v>2024</v>
      </c>
      <c r="G18" s="2" t="inlineStr">
        <is>
          <t>NGN</t>
        </is>
      </c>
      <c r="H18" s="2" t="inlineStr">
        <is>
          <t>PenCom</t>
        </is>
      </c>
      <c r="I18" s="2" t="inlineStr">
        <is>
          <t>Yes</t>
        </is>
      </c>
      <c r="J18" s="2" t="inlineStr">
        <is>
          <t>H</t>
        </is>
      </c>
      <c r="K18" s="2" t="inlineStr">
        <is>
          <t>Formed from Tangerine + APT merger.</t>
        </is>
      </c>
    </row>
    <row r="19" ht="15" customHeight="1" s="16">
      <c r="A19" s="2" t="inlineStr">
        <is>
          <t>Nigeria</t>
        </is>
      </c>
      <c r="B19" s="2" t="inlineStr">
        <is>
          <t>Trustfund Pensions</t>
        </is>
      </c>
      <c r="C19" s="2" t="inlineStr">
        <is>
          <t>PFA</t>
        </is>
      </c>
      <c r="D19" s="2" t="n">
        <v>2005</v>
      </c>
      <c r="E19" s="2" t="n">
        <v>900</v>
      </c>
      <c r="F19" s="2" t="n">
        <v>2024</v>
      </c>
      <c r="G19" s="2" t="inlineStr">
        <is>
          <t>NGN</t>
        </is>
      </c>
      <c r="H19" s="2" t="inlineStr">
        <is>
          <t>PenCom</t>
        </is>
      </c>
      <c r="I19" s="2" t="inlineStr">
        <is>
          <t>Yes</t>
        </is>
      </c>
      <c r="J19" s="2" t="inlineStr">
        <is>
          <t>H</t>
        </is>
      </c>
      <c r="K19" s="2" t="n"/>
    </row>
    <row r="20" ht="15" customHeight="1" s="16">
      <c r="A20" s="2" t="inlineStr">
        <is>
          <t>Nigeria</t>
        </is>
      </c>
      <c r="B20" s="2" t="inlineStr">
        <is>
          <t>Sigma Pensions (Access Pensions post-merger)</t>
        </is>
      </c>
      <c r="C20" s="2" t="inlineStr">
        <is>
          <t>PFA</t>
        </is>
      </c>
      <c r="D20" s="2" t="n">
        <v>2005</v>
      </c>
      <c r="E20" s="2" t="n">
        <v>1100</v>
      </c>
      <c r="F20" s="2" t="n">
        <v>2024</v>
      </c>
      <c r="G20" s="2" t="inlineStr">
        <is>
          <t>NGN</t>
        </is>
      </c>
      <c r="H20" s="2" t="inlineStr">
        <is>
          <t>PenCom</t>
        </is>
      </c>
      <c r="I20" s="2" t="inlineStr">
        <is>
          <t>Yes</t>
        </is>
      </c>
      <c r="J20" s="2" t="inlineStr">
        <is>
          <t>H</t>
        </is>
      </c>
      <c r="K20" s="2" t="inlineStr">
        <is>
          <t>Acquired by Access Holdings.</t>
        </is>
      </c>
    </row>
    <row r="21" ht="15" customHeight="1" s="16">
      <c r="A21" s="2" t="inlineStr">
        <is>
          <t>Nigeria</t>
        </is>
      </c>
      <c r="B21" s="2" t="inlineStr">
        <is>
          <t>Leadway Pensure PFA</t>
        </is>
      </c>
      <c r="C21" s="2" t="inlineStr">
        <is>
          <t>PFA</t>
        </is>
      </c>
      <c r="D21" s="2" t="n">
        <v>2005</v>
      </c>
      <c r="E21" s="2" t="n">
        <v>700</v>
      </c>
      <c r="F21" s="2" t="n">
        <v>2024</v>
      </c>
      <c r="G21" s="2" t="inlineStr">
        <is>
          <t>NGN</t>
        </is>
      </c>
      <c r="H21" s="2" t="inlineStr">
        <is>
          <t>PenCom</t>
        </is>
      </c>
      <c r="I21" s="2" t="inlineStr">
        <is>
          <t>Yes</t>
        </is>
      </c>
      <c r="J21" s="2" t="inlineStr">
        <is>
          <t>M</t>
        </is>
      </c>
      <c r="K21" s="2" t="n"/>
    </row>
    <row r="22" ht="15" customHeight="1" s="16">
      <c r="A22" s="2" t="inlineStr">
        <is>
          <t>Nigeria</t>
        </is>
      </c>
      <c r="B22" s="2" t="inlineStr">
        <is>
          <t>NPF Pensions</t>
        </is>
      </c>
      <c r="C22" s="2" t="inlineStr">
        <is>
          <t>PFA</t>
        </is>
      </c>
      <c r="D22" s="2" t="n">
        <v>2012</v>
      </c>
      <c r="E22" s="2" t="n">
        <v>500</v>
      </c>
      <c r="F22" s="2" t="n">
        <v>2024</v>
      </c>
      <c r="G22" s="2" t="inlineStr">
        <is>
          <t>NGN</t>
        </is>
      </c>
      <c r="H22" s="2" t="inlineStr">
        <is>
          <t>PenCom</t>
        </is>
      </c>
      <c r="I22" s="2" t="inlineStr">
        <is>
          <t>Yes</t>
        </is>
      </c>
      <c r="J22" s="2" t="inlineStr">
        <is>
          <t>M</t>
        </is>
      </c>
      <c r="K22" s="2" t="inlineStr">
        <is>
          <t>Police pension; closed scheme model.</t>
        </is>
      </c>
    </row>
    <row r="23" ht="15" customHeight="1" s="16">
      <c r="A23" s="2" t="inlineStr">
        <is>
          <t>Nigeria</t>
        </is>
      </c>
      <c r="B23" s="2" t="inlineStr">
        <is>
          <t>Crusader Sterling Pensions</t>
        </is>
      </c>
      <c r="C23" s="2" t="inlineStr">
        <is>
          <t>PFA</t>
        </is>
      </c>
      <c r="D23" s="2" t="n">
        <v>2005</v>
      </c>
      <c r="E23" s="2" t="n">
        <v>600</v>
      </c>
      <c r="F23" s="2" t="n">
        <v>2024</v>
      </c>
      <c r="G23" s="2" t="inlineStr">
        <is>
          <t>NGN</t>
        </is>
      </c>
      <c r="H23" s="2" t="inlineStr">
        <is>
          <t>PenCom</t>
        </is>
      </c>
      <c r="I23" s="2" t="inlineStr">
        <is>
          <t>Yes</t>
        </is>
      </c>
      <c r="J23" s="2" t="inlineStr">
        <is>
          <t>M</t>
        </is>
      </c>
      <c r="K23" s="2" t="n"/>
    </row>
    <row r="24" ht="15" customHeight="1" s="16">
      <c r="A24" s="2" t="inlineStr">
        <is>
          <t>Nigeria</t>
        </is>
      </c>
      <c r="B24" s="2" t="inlineStr">
        <is>
          <t>Pensions Alliance (PAL Pensions)</t>
        </is>
      </c>
      <c r="C24" s="2" t="inlineStr">
        <is>
          <t>PFA</t>
        </is>
      </c>
      <c r="D24" s="2" t="n">
        <v>2005</v>
      </c>
      <c r="E24" s="2" t="n">
        <v>600</v>
      </c>
      <c r="F24" s="2" t="n">
        <v>2024</v>
      </c>
      <c r="G24" s="2" t="inlineStr">
        <is>
          <t>NGN</t>
        </is>
      </c>
      <c r="H24" s="2" t="inlineStr">
        <is>
          <t>PenCom</t>
        </is>
      </c>
      <c r="I24" s="2" t="inlineStr">
        <is>
          <t>Yes</t>
        </is>
      </c>
      <c r="J24" s="2" t="inlineStr">
        <is>
          <t>M</t>
        </is>
      </c>
      <c r="K24" s="2" t="n"/>
    </row>
    <row r="25" ht="15" customHeight="1" s="16">
      <c r="A25" s="2" t="inlineStr">
        <is>
          <t>Nigeria</t>
        </is>
      </c>
      <c r="B25" s="2" t="inlineStr">
        <is>
          <t>AIICO Pension Managers</t>
        </is>
      </c>
      <c r="C25" s="2" t="inlineStr">
        <is>
          <t>PFA</t>
        </is>
      </c>
      <c r="D25" s="2" t="n">
        <v>2005</v>
      </c>
      <c r="E25" s="2" t="n">
        <v>400</v>
      </c>
      <c r="F25" s="2" t="n">
        <v>2024</v>
      </c>
      <c r="G25" s="2" t="inlineStr">
        <is>
          <t>NGN</t>
        </is>
      </c>
      <c r="H25" s="2" t="inlineStr">
        <is>
          <t>PenCom</t>
        </is>
      </c>
      <c r="I25" s="2" t="inlineStr">
        <is>
          <t>Yes</t>
        </is>
      </c>
      <c r="J25" s="2" t="inlineStr">
        <is>
          <t>M</t>
        </is>
      </c>
      <c r="K25" s="2" t="n"/>
    </row>
    <row r="26" ht="15" customHeight="1" s="16">
      <c r="A26" s="2" t="inlineStr">
        <is>
          <t>Nigeria</t>
        </is>
      </c>
      <c r="B26" s="2" t="inlineStr">
        <is>
          <t>FCMB Pensions</t>
        </is>
      </c>
      <c r="C26" s="2" t="inlineStr">
        <is>
          <t>PFA</t>
        </is>
      </c>
      <c r="D26" s="2" t="n">
        <v>2005</v>
      </c>
      <c r="E26" s="2" t="n">
        <v>500</v>
      </c>
      <c r="F26" s="2" t="n">
        <v>2024</v>
      </c>
      <c r="G26" s="2" t="inlineStr">
        <is>
          <t>NGN</t>
        </is>
      </c>
      <c r="H26" s="2" t="inlineStr">
        <is>
          <t>PenCom</t>
        </is>
      </c>
      <c r="I26" s="2" t="inlineStr">
        <is>
          <t>Yes</t>
        </is>
      </c>
      <c r="J26" s="2" t="inlineStr">
        <is>
          <t>M</t>
        </is>
      </c>
      <c r="K26" s="2" t="n"/>
    </row>
    <row r="27" ht="15" customHeight="1" s="16">
      <c r="A27" s="2" t="inlineStr">
        <is>
          <t>Nigeria</t>
        </is>
      </c>
      <c r="B27" s="2" t="inlineStr">
        <is>
          <t>Fidelity Pension Managers</t>
        </is>
      </c>
      <c r="C27" s="2" t="inlineStr">
        <is>
          <t>PFA</t>
        </is>
      </c>
      <c r="D27" s="2" t="n">
        <v>2005</v>
      </c>
      <c r="E27" s="2" t="n">
        <v>400</v>
      </c>
      <c r="F27" s="2" t="n">
        <v>2024</v>
      </c>
      <c r="G27" s="2" t="inlineStr">
        <is>
          <t>NGN</t>
        </is>
      </c>
      <c r="H27" s="2" t="inlineStr">
        <is>
          <t>PenCom</t>
        </is>
      </c>
      <c r="I27" s="2" t="inlineStr">
        <is>
          <t>Yes</t>
        </is>
      </c>
      <c r="J27" s="2" t="inlineStr">
        <is>
          <t>M</t>
        </is>
      </c>
      <c r="K27" s="2" t="n"/>
    </row>
    <row r="28" ht="15" customHeight="1" s="16">
      <c r="A28" s="2" t="inlineStr">
        <is>
          <t>Nigeria</t>
        </is>
      </c>
      <c r="B28" s="2" t="inlineStr">
        <is>
          <t>NLPC Pension Fund Administrators</t>
        </is>
      </c>
      <c r="C28" s="2" t="inlineStr">
        <is>
          <t>PFA</t>
        </is>
      </c>
      <c r="D28" s="2" t="n">
        <v>2005</v>
      </c>
      <c r="E28" s="2" t="n">
        <v>350</v>
      </c>
      <c r="F28" s="2" t="n">
        <v>2024</v>
      </c>
      <c r="G28" s="2" t="inlineStr">
        <is>
          <t>NGN</t>
        </is>
      </c>
      <c r="H28" s="2" t="inlineStr">
        <is>
          <t>PenCom</t>
        </is>
      </c>
      <c r="I28" s="2" t="inlineStr">
        <is>
          <t>Yes</t>
        </is>
      </c>
      <c r="J28" s="2" t="inlineStr">
        <is>
          <t>M</t>
        </is>
      </c>
      <c r="K28" s="2" t="n"/>
    </row>
    <row r="29" ht="15" customHeight="1" s="16">
      <c r="A29" s="2" t="inlineStr">
        <is>
          <t>Nigeria</t>
        </is>
      </c>
      <c r="B29" s="2" t="inlineStr">
        <is>
          <t>Veritas Glanvill Pensions</t>
        </is>
      </c>
      <c r="C29" s="2" t="inlineStr">
        <is>
          <t>PFA</t>
        </is>
      </c>
      <c r="D29" s="2" t="n">
        <v>2005</v>
      </c>
      <c r="E29" s="2" t="n">
        <v>300</v>
      </c>
      <c r="F29" s="2" t="n">
        <v>2024</v>
      </c>
      <c r="G29" s="2" t="inlineStr">
        <is>
          <t>NGN</t>
        </is>
      </c>
      <c r="H29" s="2" t="inlineStr">
        <is>
          <t>PenCom</t>
        </is>
      </c>
      <c r="I29" s="2" t="inlineStr">
        <is>
          <t>Yes</t>
        </is>
      </c>
      <c r="J29" s="2" t="inlineStr">
        <is>
          <t>M</t>
        </is>
      </c>
      <c r="K29" s="2" t="n"/>
    </row>
    <row r="30" ht="15" customHeight="1" s="16">
      <c r="A30" s="2" t="inlineStr">
        <is>
          <t>Nigeria</t>
        </is>
      </c>
      <c r="B30" s="2" t="inlineStr">
        <is>
          <t>IEI-Anchor Pension Managers</t>
        </is>
      </c>
      <c r="C30" s="2" t="inlineStr">
        <is>
          <t>PFA</t>
        </is>
      </c>
      <c r="D30" s="2" t="n">
        <v>2007</v>
      </c>
      <c r="E30" s="2" t="n">
        <v>250</v>
      </c>
      <c r="F30" s="2" t="n">
        <v>2024</v>
      </c>
      <c r="G30" s="2" t="inlineStr">
        <is>
          <t>NGN</t>
        </is>
      </c>
      <c r="H30" s="2" t="inlineStr">
        <is>
          <t>PenCom</t>
        </is>
      </c>
      <c r="I30" s="2" t="inlineStr">
        <is>
          <t>Yes</t>
        </is>
      </c>
      <c r="J30" s="2" t="inlineStr">
        <is>
          <t>M</t>
        </is>
      </c>
      <c r="K30" s="2" t="n"/>
    </row>
    <row r="31" ht="15" customHeight="1" s="16">
      <c r="A31" s="2" t="inlineStr">
        <is>
          <t>Nigeria</t>
        </is>
      </c>
      <c r="B31" s="2" t="inlineStr">
        <is>
          <t>Norrenberger Pensions</t>
        </is>
      </c>
      <c r="C31" s="2" t="inlineStr">
        <is>
          <t>PFA</t>
        </is>
      </c>
      <c r="D31" s="2" t="n">
        <v>2005</v>
      </c>
      <c r="E31" s="2" t="n">
        <v>200</v>
      </c>
      <c r="F31" s="2" t="n">
        <v>2024</v>
      </c>
      <c r="G31" s="2" t="inlineStr">
        <is>
          <t>NGN</t>
        </is>
      </c>
      <c r="H31" s="2" t="inlineStr">
        <is>
          <t>PenCom</t>
        </is>
      </c>
      <c r="I31" s="2" t="inlineStr">
        <is>
          <t>Yes</t>
        </is>
      </c>
      <c r="J31" s="2" t="inlineStr">
        <is>
          <t>L</t>
        </is>
      </c>
      <c r="K31" s="2" t="n"/>
    </row>
    <row r="32" ht="15" customHeight="1" s="16">
      <c r="A32" s="2" t="inlineStr">
        <is>
          <t>Nigeria</t>
        </is>
      </c>
      <c r="B32" s="2" t="inlineStr">
        <is>
          <t>Radix Pension Managers</t>
        </is>
      </c>
      <c r="C32" s="2" t="inlineStr">
        <is>
          <t>PFA</t>
        </is>
      </c>
      <c r="D32" s="2" t="n">
        <v>2005</v>
      </c>
      <c r="E32" s="2" t="n">
        <v>150</v>
      </c>
      <c r="F32" s="2" t="n">
        <v>2024</v>
      </c>
      <c r="G32" s="2" t="inlineStr">
        <is>
          <t>NGN</t>
        </is>
      </c>
      <c r="H32" s="2" t="inlineStr">
        <is>
          <t>PenCom</t>
        </is>
      </c>
      <c r="I32" s="2" t="inlineStr">
        <is>
          <t>Yes</t>
        </is>
      </c>
      <c r="J32" s="2" t="inlineStr">
        <is>
          <t>L</t>
        </is>
      </c>
      <c r="K32" s="2" t="n"/>
    </row>
    <row r="33" ht="15" customHeight="1" s="16">
      <c r="A33" s="2" t="inlineStr">
        <is>
          <t>Nigeria</t>
        </is>
      </c>
      <c r="B33" s="2" t="inlineStr">
        <is>
          <t>Nigeria Social Insurance Trust Fund (NSITF)</t>
        </is>
      </c>
      <c r="C33" s="2" t="inlineStr">
        <is>
          <t>Public, employee compensation</t>
        </is>
      </c>
      <c r="D33" s="2" t="n">
        <v>1993</v>
      </c>
      <c r="E33" s="2" t="n">
        <v>350</v>
      </c>
      <c r="F33" s="2" t="n">
        <v>2023</v>
      </c>
      <c r="G33" s="2" t="inlineStr">
        <is>
          <t>NGN</t>
        </is>
      </c>
      <c r="H33" s="2" t="inlineStr">
        <is>
          <t>Federal MoL</t>
        </is>
      </c>
      <c r="I33" s="2" t="inlineStr">
        <is>
          <t>Limited</t>
        </is>
      </c>
      <c r="J33" s="2" t="inlineStr">
        <is>
          <t>L</t>
        </is>
      </c>
      <c r="K33" s="2" t="inlineStr">
        <is>
          <t>Separate from CPS PFA universe.</t>
        </is>
      </c>
    </row>
    <row r="34" ht="15" customHeight="1" s="16">
      <c r="A34" s="2" t="inlineStr">
        <is>
          <t>Kenya</t>
        </is>
      </c>
      <c r="B34" s="2" t="inlineStr">
        <is>
          <t>National Social Security Fund (NSSF Kenya)</t>
        </is>
      </c>
      <c r="C34" s="2" t="inlineStr">
        <is>
          <t>Public, mandatory</t>
        </is>
      </c>
      <c r="D34" s="2" t="n">
        <v>1965</v>
      </c>
      <c r="E34" s="2" t="n">
        <v>3200</v>
      </c>
      <c r="F34" s="2" t="n">
        <v>2024</v>
      </c>
      <c r="G34" s="2" t="inlineStr">
        <is>
          <t>KES</t>
        </is>
      </c>
      <c r="H34" s="2" t="inlineStr">
        <is>
          <t>RBA</t>
        </is>
      </c>
      <c r="I34" s="2" t="inlineStr">
        <is>
          <t>Yes</t>
        </is>
      </c>
      <c r="J34" s="2" t="inlineStr">
        <is>
          <t>H</t>
        </is>
      </c>
      <c r="K34" s="2" t="inlineStr">
        <is>
          <t>Largest single Kenyan pension fund.</t>
        </is>
      </c>
    </row>
    <row r="35" ht="15" customHeight="1" s="16">
      <c r="A35" s="2" t="inlineStr">
        <is>
          <t>Kenya</t>
        </is>
      </c>
      <c r="B35" s="2" t="inlineStr">
        <is>
          <t>Kenya Power Pension Fund (KPPF)</t>
        </is>
      </c>
      <c r="C35" s="2" t="inlineStr">
        <is>
          <t>Occupational, parastatal</t>
        </is>
      </c>
      <c r="D35" s="2" t="n">
        <v>1955</v>
      </c>
      <c r="E35" s="2" t="n">
        <v>800</v>
      </c>
      <c r="F35" s="2" t="n">
        <v>2024</v>
      </c>
      <c r="G35" s="2" t="inlineStr">
        <is>
          <t>KES</t>
        </is>
      </c>
      <c r="H35" s="2" t="inlineStr">
        <is>
          <t>RBA</t>
        </is>
      </c>
      <c r="I35" s="2" t="inlineStr">
        <is>
          <t>Yes</t>
        </is>
      </c>
      <c r="J35" s="2" t="inlineStr">
        <is>
          <t>H</t>
        </is>
      </c>
      <c r="K35" s="2" t="n"/>
    </row>
    <row r="36" ht="15" customHeight="1" s="16">
      <c r="A36" s="2" t="inlineStr">
        <is>
          <t>Kenya</t>
        </is>
      </c>
      <c r="B36" s="2" t="inlineStr">
        <is>
          <t>Local Authorities Pension Trust (LAPTRUST)</t>
        </is>
      </c>
      <c r="C36" s="2" t="inlineStr">
        <is>
          <t>Occupational, local gov't</t>
        </is>
      </c>
      <c r="D36" s="2" t="n">
        <v>1929</v>
      </c>
      <c r="E36" s="2" t="n">
        <v>700</v>
      </c>
      <c r="F36" s="2" t="n">
        <v>2024</v>
      </c>
      <c r="G36" s="2" t="inlineStr">
        <is>
          <t>KES</t>
        </is>
      </c>
      <c r="H36" s="2" t="inlineStr">
        <is>
          <t>RBA</t>
        </is>
      </c>
      <c r="I36" s="2" t="inlineStr">
        <is>
          <t>Yes</t>
        </is>
      </c>
      <c r="J36" s="2" t="inlineStr">
        <is>
          <t>H</t>
        </is>
      </c>
      <c r="K36" s="2" t="n"/>
    </row>
    <row r="37" ht="15" customHeight="1" s="16">
      <c r="A37" s="2" t="inlineStr">
        <is>
          <t>Kenya</t>
        </is>
      </c>
      <c r="B37" s="2" t="inlineStr">
        <is>
          <t>County Pension Fund (CPF Financial Services)</t>
        </is>
      </c>
      <c r="C37" s="2" t="inlineStr">
        <is>
          <t>Umbrella</t>
        </is>
      </c>
      <c r="D37" s="2" t="n">
        <v>1929</v>
      </c>
      <c r="E37" s="2" t="n">
        <v>800</v>
      </c>
      <c r="F37" s="2" t="n">
        <v>2024</v>
      </c>
      <c r="G37" s="2" t="inlineStr">
        <is>
          <t>KES</t>
        </is>
      </c>
      <c r="H37" s="2" t="inlineStr">
        <is>
          <t>RBA</t>
        </is>
      </c>
      <c r="I37" s="2" t="inlineStr">
        <is>
          <t>Yes</t>
        </is>
      </c>
      <c r="J37" s="2" t="inlineStr">
        <is>
          <t>M</t>
        </is>
      </c>
      <c r="K37" s="2" t="n"/>
    </row>
    <row r="38" ht="15" customHeight="1" s="16">
      <c r="A38" s="2" t="inlineStr">
        <is>
          <t>Kenya</t>
        </is>
      </c>
      <c r="B38" s="2" t="inlineStr">
        <is>
          <t>Telposta Pension Scheme</t>
        </is>
      </c>
      <c r="C38" s="2" t="inlineStr">
        <is>
          <t>Occupational, parastatal</t>
        </is>
      </c>
      <c r="D38" s="2" t="n">
        <v>1999</v>
      </c>
      <c r="E38" s="2" t="n">
        <v>350</v>
      </c>
      <c r="F38" s="2" t="n">
        <v>2023</v>
      </c>
      <c r="G38" s="2" t="inlineStr">
        <is>
          <t>KES</t>
        </is>
      </c>
      <c r="H38" s="2" t="inlineStr">
        <is>
          <t>RBA</t>
        </is>
      </c>
      <c r="I38" s="2" t="inlineStr">
        <is>
          <t>Yes</t>
        </is>
      </c>
      <c r="J38" s="2" t="inlineStr">
        <is>
          <t>M</t>
        </is>
      </c>
      <c r="K38" s="2" t="n"/>
    </row>
    <row r="39" ht="15" customHeight="1" s="16">
      <c r="A39" s="2" t="inlineStr">
        <is>
          <t>Kenya</t>
        </is>
      </c>
      <c r="B39" s="2" t="inlineStr">
        <is>
          <t>KPLC Staff Retirement Benefits Scheme</t>
        </is>
      </c>
      <c r="C39" s="2" t="inlineStr">
        <is>
          <t>Occupational</t>
        </is>
      </c>
      <c r="D39" s="2" t="n">
        <v>2006</v>
      </c>
      <c r="E39" s="2" t="n">
        <v>300</v>
      </c>
      <c r="F39" s="2" t="n">
        <v>2023</v>
      </c>
      <c r="G39" s="2" t="inlineStr">
        <is>
          <t>KES</t>
        </is>
      </c>
      <c r="H39" s="2" t="inlineStr">
        <is>
          <t>RBA</t>
        </is>
      </c>
      <c r="I39" s="2" t="inlineStr">
        <is>
          <t>Yes</t>
        </is>
      </c>
      <c r="J39" s="2" t="inlineStr">
        <is>
          <t>M</t>
        </is>
      </c>
      <c r="K39" s="2" t="n"/>
    </row>
    <row r="40" ht="15" customHeight="1" s="16">
      <c r="A40" s="2" t="inlineStr">
        <is>
          <t>Kenya</t>
        </is>
      </c>
      <c r="B40" s="2" t="inlineStr">
        <is>
          <t>Public Service Superannuation Scheme (PSSS)</t>
        </is>
      </c>
      <c r="C40" s="2" t="inlineStr">
        <is>
          <t>Public, civil service</t>
        </is>
      </c>
      <c r="D40" s="2" t="n">
        <v>2012</v>
      </c>
      <c r="E40" s="2" t="n">
        <v>200</v>
      </c>
      <c r="F40" s="2" t="n">
        <v>2024</v>
      </c>
      <c r="G40" s="2" t="inlineStr">
        <is>
          <t>KES</t>
        </is>
      </c>
      <c r="H40" s="2" t="inlineStr">
        <is>
          <t>RBA</t>
        </is>
      </c>
      <c r="I40" s="2" t="inlineStr">
        <is>
          <t>Limited</t>
        </is>
      </c>
      <c r="J40" s="2" t="inlineStr">
        <is>
          <t>M</t>
        </is>
      </c>
      <c r="K40" s="2" t="inlineStr">
        <is>
          <t>Newer DC scheme for new civil servants.</t>
        </is>
      </c>
    </row>
    <row r="41" ht="15" customHeight="1" s="16">
      <c r="A41" s="2" t="inlineStr">
        <is>
          <t>Ghana</t>
        </is>
      </c>
      <c r="B41" s="2" t="inlineStr">
        <is>
          <t>Social Security and National Insurance Trust (SSNIT)</t>
        </is>
      </c>
      <c r="C41" s="2" t="inlineStr">
        <is>
          <t>Public, mandatory</t>
        </is>
      </c>
      <c r="D41" s="2" t="n">
        <v>1972</v>
      </c>
      <c r="E41" s="2" t="n">
        <v>3000</v>
      </c>
      <c r="F41" s="2" t="n">
        <v>2023</v>
      </c>
      <c r="G41" s="2" t="inlineStr">
        <is>
          <t>GHS</t>
        </is>
      </c>
      <c r="H41" s="2" t="inlineStr">
        <is>
          <t>NPRA</t>
        </is>
      </c>
      <c r="I41" s="2" t="inlineStr">
        <is>
          <t>Yes (annual report)</t>
        </is>
      </c>
      <c r="J41" s="2" t="inlineStr">
        <is>
          <t>H</t>
        </is>
      </c>
      <c r="K41" s="2" t="inlineStr">
        <is>
          <t>Largest pension fund in West Africa ex-Nigeria.</t>
        </is>
      </c>
    </row>
    <row r="42" ht="15" customHeight="1" s="16">
      <c r="A42" s="2" t="inlineStr">
        <is>
          <t>Ghana</t>
        </is>
      </c>
      <c r="B42" s="2" t="inlineStr">
        <is>
          <t>Tier 2 Corporate Trustees (umbrella schemes)</t>
        </is>
      </c>
      <c r="C42" s="2" t="inlineStr">
        <is>
          <t>DC, mandatory</t>
        </is>
      </c>
      <c r="D42" s="2" t="inlineStr">
        <is>
          <t>various</t>
        </is>
      </c>
      <c r="E42" s="2" t="n">
        <v>3500</v>
      </c>
      <c r="F42" s="2" t="n">
        <v>2023</v>
      </c>
      <c r="G42" s="2" t="inlineStr">
        <is>
          <t>GHS</t>
        </is>
      </c>
      <c r="H42" s="2" t="inlineStr">
        <is>
          <t>NPRA</t>
        </is>
      </c>
      <c r="I42" s="2" t="inlineStr">
        <is>
          <t>Aggregate via NPRA</t>
        </is>
      </c>
      <c r="J42" s="2" t="inlineStr">
        <is>
          <t>M</t>
        </is>
      </c>
      <c r="K42" s="2" t="inlineStr">
        <is>
          <t>Universe of Tier 2 trustees; aggregate not allocator-level.</t>
        </is>
      </c>
    </row>
    <row r="43" ht="15" customHeight="1" s="16">
      <c r="A43" s="2" t="inlineStr">
        <is>
          <t>Uganda</t>
        </is>
      </c>
      <c r="B43" s="2" t="inlineStr">
        <is>
          <t>National Social Security Fund (NSSF Uganda)</t>
        </is>
      </c>
      <c r="C43" s="2" t="inlineStr">
        <is>
          <t>Public, mandatory</t>
        </is>
      </c>
      <c r="D43" s="2" t="n">
        <v>1985</v>
      </c>
      <c r="E43" s="2" t="n">
        <v>5800</v>
      </c>
      <c r="F43" s="2" t="n">
        <v>2024</v>
      </c>
      <c r="G43" s="2" t="inlineStr">
        <is>
          <t>UGX</t>
        </is>
      </c>
      <c r="H43" s="2" t="inlineStr">
        <is>
          <t>URBRA</t>
        </is>
      </c>
      <c r="I43" s="2" t="inlineStr">
        <is>
          <t>Yes (annual report)</t>
        </is>
      </c>
      <c r="J43" s="2" t="inlineStr">
        <is>
          <t>H</t>
        </is>
      </c>
      <c r="K43" s="2" t="inlineStr">
        <is>
          <t>Highly active allocator; has made disclosed Africa alts commitments.</t>
        </is>
      </c>
    </row>
    <row r="44" ht="15" customHeight="1" s="16">
      <c r="A44" s="2" t="inlineStr">
        <is>
          <t>Tanzania</t>
        </is>
      </c>
      <c r="B44" s="2" t="inlineStr">
        <is>
          <t>Public Service Social Security Fund (PSSSF)</t>
        </is>
      </c>
      <c r="C44" s="2" t="inlineStr">
        <is>
          <t>Public, civil service consolidated</t>
        </is>
      </c>
      <c r="D44" s="2" t="n">
        <v>2018</v>
      </c>
      <c r="E44" s="2" t="n">
        <v>6000</v>
      </c>
      <c r="F44" s="2" t="n">
        <v>2024</v>
      </c>
      <c r="G44" s="2" t="inlineStr">
        <is>
          <t>TZS</t>
        </is>
      </c>
      <c r="H44" s="2" t="inlineStr">
        <is>
          <t>SSRA</t>
        </is>
      </c>
      <c r="I44" s="2" t="inlineStr">
        <is>
          <t>Yes</t>
        </is>
      </c>
      <c r="J44" s="2" t="inlineStr">
        <is>
          <t>H</t>
        </is>
      </c>
      <c r="K44" s="2" t="inlineStr">
        <is>
          <t>Merger of PSPF, GEPF, LAPF, PPF.</t>
        </is>
      </c>
    </row>
    <row r="45" ht="15" customHeight="1" s="16">
      <c r="A45" s="2" t="inlineStr">
        <is>
          <t>Tanzania</t>
        </is>
      </c>
      <c r="B45" s="2" t="inlineStr">
        <is>
          <t>National Social Security Fund (NSSF Tanzania)</t>
        </is>
      </c>
      <c r="C45" s="2" t="inlineStr">
        <is>
          <t>Public, private sector</t>
        </is>
      </c>
      <c r="D45" s="2" t="n">
        <v>1997</v>
      </c>
      <c r="E45" s="2" t="n">
        <v>1700</v>
      </c>
      <c r="F45" s="2" t="n">
        <v>2024</v>
      </c>
      <c r="G45" s="2" t="inlineStr">
        <is>
          <t>TZS</t>
        </is>
      </c>
      <c r="H45" s="2" t="inlineStr">
        <is>
          <t>SSRA</t>
        </is>
      </c>
      <c r="I45" s="2" t="inlineStr">
        <is>
          <t>Yes</t>
        </is>
      </c>
      <c r="J45" s="2" t="inlineStr">
        <is>
          <t>H</t>
        </is>
      </c>
      <c r="K45" s="2" t="n"/>
    </row>
    <row r="46" ht="15" customHeight="1" s="16">
      <c r="A46" s="2" t="inlineStr">
        <is>
          <t>Tanzania</t>
        </is>
      </c>
      <c r="B46" s="2" t="inlineStr">
        <is>
          <t>Workers Compensation Fund (WCF)</t>
        </is>
      </c>
      <c r="C46" s="2" t="inlineStr">
        <is>
          <t>Public, workers comp</t>
        </is>
      </c>
      <c r="D46" s="2" t="n">
        <v>2015</v>
      </c>
      <c r="E46" s="2" t="n">
        <v>250</v>
      </c>
      <c r="F46" s="2" t="n">
        <v>2023</v>
      </c>
      <c r="G46" s="2" t="inlineStr">
        <is>
          <t>TZS</t>
        </is>
      </c>
      <c r="H46" s="2" t="inlineStr">
        <is>
          <t>SSRA</t>
        </is>
      </c>
      <c r="I46" s="2" t="inlineStr">
        <is>
          <t>Yes</t>
        </is>
      </c>
      <c r="J46" s="2" t="inlineStr">
        <is>
          <t>M</t>
        </is>
      </c>
      <c r="K46" s="2" t="n"/>
    </row>
    <row r="47" ht="15" customHeight="1" s="16">
      <c r="A47" s="2" t="inlineStr">
        <is>
          <t>Rwanda</t>
        </is>
      </c>
      <c r="B47" s="2" t="inlineStr">
        <is>
          <t>Rwanda Social Security Board (RSSB)</t>
        </is>
      </c>
      <c r="C47" s="2" t="inlineStr">
        <is>
          <t>Public, mandatory</t>
        </is>
      </c>
      <c r="D47" s="2" t="n">
        <v>2010</v>
      </c>
      <c r="E47" s="2" t="n">
        <v>1500</v>
      </c>
      <c r="F47" s="2" t="n">
        <v>2024</v>
      </c>
      <c r="G47" s="2" t="inlineStr">
        <is>
          <t>RWF</t>
        </is>
      </c>
      <c r="H47" s="2" t="inlineStr">
        <is>
          <t>MINECOFIN</t>
        </is>
      </c>
      <c r="I47" s="2" t="inlineStr">
        <is>
          <t>Yes</t>
        </is>
      </c>
      <c r="J47" s="2" t="inlineStr">
        <is>
          <t>H</t>
        </is>
      </c>
      <c r="K47" s="2" t="inlineStr">
        <is>
          <t>Manages pension + medical + occupational hazards branches.</t>
        </is>
      </c>
    </row>
    <row r="48" ht="15" customHeight="1" s="16">
      <c r="A48" s="2" t="inlineStr">
        <is>
          <t>Zambia</t>
        </is>
      </c>
      <c r="B48" s="2" t="inlineStr">
        <is>
          <t>National Pension Scheme Authority (NAPSA)</t>
        </is>
      </c>
      <c r="C48" s="2" t="inlineStr">
        <is>
          <t>Public, mandatory</t>
        </is>
      </c>
      <c r="D48" s="2" t="n">
        <v>1996</v>
      </c>
      <c r="E48" s="2" t="n">
        <v>2600</v>
      </c>
      <c r="F48" s="2" t="n">
        <v>2024</v>
      </c>
      <c r="G48" s="2" t="inlineStr">
        <is>
          <t>ZMW</t>
        </is>
      </c>
      <c r="H48" s="2" t="inlineStr">
        <is>
          <t>PIA</t>
        </is>
      </c>
      <c r="I48" s="2" t="inlineStr">
        <is>
          <t>Yes</t>
        </is>
      </c>
      <c r="J48" s="2" t="inlineStr">
        <is>
          <t>H</t>
        </is>
      </c>
      <c r="K48" s="2" t="n"/>
    </row>
    <row r="49" ht="15" customHeight="1" s="16">
      <c r="A49" s="2" t="inlineStr">
        <is>
          <t>Zambia</t>
        </is>
      </c>
      <c r="B49" s="2" t="inlineStr">
        <is>
          <t>Local Authorities Superannuation Fund (LASF)</t>
        </is>
      </c>
      <c r="C49" s="2" t="inlineStr">
        <is>
          <t>Occupational, local gov't</t>
        </is>
      </c>
      <c r="D49" s="2" t="n">
        <v>1958</v>
      </c>
      <c r="E49" s="2" t="n">
        <v>200</v>
      </c>
      <c r="F49" s="2" t="n">
        <v>2023</v>
      </c>
      <c r="G49" s="2" t="inlineStr">
        <is>
          <t>ZMW</t>
        </is>
      </c>
      <c r="H49" s="2" t="inlineStr">
        <is>
          <t>PIA</t>
        </is>
      </c>
      <c r="I49" s="2" t="inlineStr">
        <is>
          <t>Limited</t>
        </is>
      </c>
      <c r="J49" s="2" t="inlineStr">
        <is>
          <t>M</t>
        </is>
      </c>
      <c r="K49" s="2" t="n"/>
    </row>
    <row r="50" ht="15" customHeight="1" s="16">
      <c r="A50" s="2" t="inlineStr">
        <is>
          <t>Zambia</t>
        </is>
      </c>
      <c r="B50" s="2" t="inlineStr">
        <is>
          <t>Public Service Pension Fund (PSPF)</t>
        </is>
      </c>
      <c r="C50" s="2" t="inlineStr">
        <is>
          <t>Public, civil service</t>
        </is>
      </c>
      <c r="D50" s="2" t="n">
        <v>1996</v>
      </c>
      <c r="E50" s="2" t="n">
        <v>350</v>
      </c>
      <c r="F50" s="2" t="n">
        <v>2023</v>
      </c>
      <c r="G50" s="2" t="inlineStr">
        <is>
          <t>ZMW</t>
        </is>
      </c>
      <c r="H50" s="2" t="inlineStr">
        <is>
          <t>PIA</t>
        </is>
      </c>
      <c r="I50" s="2" t="inlineStr">
        <is>
          <t>Limited</t>
        </is>
      </c>
      <c r="J50" s="2" t="inlineStr">
        <is>
          <t>M</t>
        </is>
      </c>
      <c r="K50" s="2" t="n"/>
    </row>
    <row r="51" ht="15" customHeight="1" s="16">
      <c r="A51" s="2" t="inlineStr">
        <is>
          <t>Zimbabwe</t>
        </is>
      </c>
      <c r="B51" s="2" t="inlineStr">
        <is>
          <t>National Social Security Authority (NSSA)</t>
        </is>
      </c>
      <c r="C51" s="2" t="inlineStr">
        <is>
          <t>Public, mandatory</t>
        </is>
      </c>
      <c r="D51" s="2" t="n">
        <v>1989</v>
      </c>
      <c r="E51" s="2" t="n">
        <v>500</v>
      </c>
      <c r="F51" s="2" t="n">
        <v>2023</v>
      </c>
      <c r="G51" s="2" t="inlineStr">
        <is>
          <t>USD/ZWL</t>
        </is>
      </c>
      <c r="H51" s="2" t="inlineStr">
        <is>
          <t>IPEC</t>
        </is>
      </c>
      <c r="I51" s="2" t="inlineStr">
        <is>
          <t>Yes (limited)</t>
        </is>
      </c>
      <c r="J51" s="2" t="inlineStr">
        <is>
          <t>M</t>
        </is>
      </c>
      <c r="K51" s="2" t="inlineStr">
        <is>
          <t>Hyperinflation has distorted historical AUM.</t>
        </is>
      </c>
    </row>
    <row r="52" ht="15" customHeight="1" s="16">
      <c r="A52" s="2" t="inlineStr">
        <is>
          <t>Zimbabwe</t>
        </is>
      </c>
      <c r="B52" s="2" t="inlineStr">
        <is>
          <t>Mining Industry Pension Fund (MIPF)</t>
        </is>
      </c>
      <c r="C52" s="2" t="inlineStr">
        <is>
          <t>Multi-employer</t>
        </is>
      </c>
      <c r="D52" s="2" t="n">
        <v>1982</v>
      </c>
      <c r="E52" s="2" t="n">
        <v>400</v>
      </c>
      <c r="F52" s="2" t="n">
        <v>2023</v>
      </c>
      <c r="G52" s="2" t="inlineStr">
        <is>
          <t>USD</t>
        </is>
      </c>
      <c r="H52" s="2" t="inlineStr">
        <is>
          <t>IPEC</t>
        </is>
      </c>
      <c r="I52" s="2" t="inlineStr">
        <is>
          <t>Yes</t>
        </is>
      </c>
      <c r="J52" s="2" t="inlineStr">
        <is>
          <t>M</t>
        </is>
      </c>
      <c r="K52" s="2" t="n"/>
    </row>
    <row r="53" ht="15" customHeight="1" s="16">
      <c r="A53" s="2" t="inlineStr">
        <is>
          <t>Zimbabwe</t>
        </is>
      </c>
      <c r="B53" s="2" t="inlineStr">
        <is>
          <t>Local Authorities Pension Fund (LAPF)</t>
        </is>
      </c>
      <c r="C53" s="2" t="inlineStr">
        <is>
          <t>Occupational, local gov't</t>
        </is>
      </c>
      <c r="D53" s="2" t="n">
        <v>1948</v>
      </c>
      <c r="E53" s="2" t="n">
        <v>300</v>
      </c>
      <c r="F53" s="2" t="n">
        <v>2023</v>
      </c>
      <c r="G53" s="2" t="inlineStr">
        <is>
          <t>USD</t>
        </is>
      </c>
      <c r="H53" s="2" t="inlineStr">
        <is>
          <t>IPEC</t>
        </is>
      </c>
      <c r="I53" s="2" t="inlineStr">
        <is>
          <t>Yes</t>
        </is>
      </c>
      <c r="J53" s="2" t="inlineStr">
        <is>
          <t>M</t>
        </is>
      </c>
      <c r="K53" s="2" t="n"/>
    </row>
    <row r="54" ht="15" customHeight="1" s="16">
      <c r="A54" s="2" t="inlineStr">
        <is>
          <t>Mozambique</t>
        </is>
      </c>
      <c r="B54" s="2" t="inlineStr">
        <is>
          <t>Instituto Nacional de Segurança Social (INSS)</t>
        </is>
      </c>
      <c r="C54" s="2" t="inlineStr">
        <is>
          <t>Public, mandatory</t>
        </is>
      </c>
      <c r="D54" s="2" t="n">
        <v>1989</v>
      </c>
      <c r="E54" s="2" t="n">
        <v>800</v>
      </c>
      <c r="F54" s="2" t="n">
        <v>2023</v>
      </c>
      <c r="G54" s="2" t="inlineStr">
        <is>
          <t>MZN</t>
        </is>
      </c>
      <c r="H54" s="2" t="inlineStr">
        <is>
          <t>Ministry of Labour</t>
        </is>
      </c>
      <c r="I54" s="2" t="inlineStr">
        <is>
          <t>Limited</t>
        </is>
      </c>
      <c r="J54" s="2" t="inlineStr">
        <is>
          <t>L</t>
        </is>
      </c>
      <c r="K54" s="2" t="n"/>
    </row>
    <row r="55" ht="15" customHeight="1" s="16">
      <c r="A55" s="2" t="inlineStr">
        <is>
          <t>Angola</t>
        </is>
      </c>
      <c r="B55" s="2" t="inlineStr">
        <is>
          <t>Instituto Nacional de Segurança Social (INSS Angola)</t>
        </is>
      </c>
      <c r="C55" s="2" t="inlineStr">
        <is>
          <t>Public, mandatory</t>
        </is>
      </c>
      <c r="D55" s="2" t="n">
        <v>1991</v>
      </c>
      <c r="E55" s="2" t="n">
        <v>900</v>
      </c>
      <c r="F55" s="2" t="n">
        <v>2023</v>
      </c>
      <c r="G55" s="2" t="inlineStr">
        <is>
          <t>AOA</t>
        </is>
      </c>
      <c r="H55" s="2" t="inlineStr">
        <is>
          <t>Ministry of Public Admin</t>
        </is>
      </c>
      <c r="I55" s="2" t="inlineStr">
        <is>
          <t>Limited</t>
        </is>
      </c>
      <c r="J55" s="2" t="inlineStr">
        <is>
          <t>L</t>
        </is>
      </c>
      <c r="K55" s="2" t="n"/>
    </row>
    <row r="56" ht="15" customHeight="1" s="16">
      <c r="A56" s="2" t="inlineStr">
        <is>
          <t>Botswana</t>
        </is>
      </c>
      <c r="B56" s="2" t="inlineStr">
        <is>
          <t>Botswana Public Officers Pension Fund (BPOPF)</t>
        </is>
      </c>
      <c r="C56" s="2" t="inlineStr">
        <is>
          <t>Public sector</t>
        </is>
      </c>
      <c r="D56" s="2" t="n">
        <v>2001</v>
      </c>
      <c r="E56" s="2" t="n">
        <v>7500</v>
      </c>
      <c r="F56" s="2" t="n">
        <v>2024</v>
      </c>
      <c r="G56" s="2" t="inlineStr">
        <is>
          <t>BWP</t>
        </is>
      </c>
      <c r="H56" s="2" t="inlineStr">
        <is>
          <t>NBFIRA</t>
        </is>
      </c>
      <c r="I56" s="2" t="inlineStr">
        <is>
          <t>Yes (annual report)</t>
        </is>
      </c>
      <c r="J56" s="2" t="inlineStr">
        <is>
          <t>H</t>
        </is>
      </c>
      <c r="K56" s="2" t="inlineStr">
        <is>
          <t>Largest pension fund in Botswana; active in alts.</t>
        </is>
      </c>
    </row>
    <row r="57" ht="15" customHeight="1" s="16">
      <c r="A57" s="2" t="inlineStr">
        <is>
          <t>Botswana</t>
        </is>
      </c>
      <c r="B57" s="2" t="inlineStr">
        <is>
          <t>Debswana Pension Fund</t>
        </is>
      </c>
      <c r="C57" s="2" t="inlineStr">
        <is>
          <t>Corporate (mining JV)</t>
        </is>
      </c>
      <c r="D57" s="2" t="n">
        <v>1984</v>
      </c>
      <c r="E57" s="2" t="n">
        <v>1500</v>
      </c>
      <c r="F57" s="2" t="n">
        <v>2024</v>
      </c>
      <c r="G57" s="2" t="inlineStr">
        <is>
          <t>BWP</t>
        </is>
      </c>
      <c r="H57" s="2" t="inlineStr">
        <is>
          <t>NBFIRA</t>
        </is>
      </c>
      <c r="I57" s="2" t="inlineStr">
        <is>
          <t>Yes</t>
        </is>
      </c>
      <c r="J57" s="2" t="inlineStr">
        <is>
          <t>H</t>
        </is>
      </c>
      <c r="K57" s="2" t="inlineStr">
        <is>
          <t>De Beers / Government JV mining co. fund; alts-active.</t>
        </is>
      </c>
    </row>
    <row r="58" ht="15" customHeight="1" s="16">
      <c r="A58" s="2" t="inlineStr">
        <is>
          <t>Botswana</t>
        </is>
      </c>
      <c r="B58" s="2" t="inlineStr">
        <is>
          <t>Motor Vehicle Accident Fund (MVA)</t>
        </is>
      </c>
      <c r="C58" s="2" t="inlineStr">
        <is>
          <t>Statutory</t>
        </is>
      </c>
      <c r="D58" s="2" t="n">
        <v>1987</v>
      </c>
      <c r="E58" s="2" t="n">
        <v>400</v>
      </c>
      <c r="F58" s="2" t="n">
        <v>2023</v>
      </c>
      <c r="G58" s="2" t="inlineStr">
        <is>
          <t>BWP</t>
        </is>
      </c>
      <c r="H58" s="2" t="inlineStr">
        <is>
          <t>NBFIRA</t>
        </is>
      </c>
      <c r="I58" s="2" t="inlineStr">
        <is>
          <t>Yes</t>
        </is>
      </c>
      <c r="J58" s="2" t="inlineStr">
        <is>
          <t>M</t>
        </is>
      </c>
      <c r="K58" s="2" t="n"/>
    </row>
    <row r="59" ht="23.25" customHeight="1" s="16">
      <c r="A59" s="2" t="inlineStr">
        <is>
          <t>Namibia</t>
        </is>
      </c>
      <c r="B59" s="2" t="inlineStr">
        <is>
          <t>Government Institutions Pension Fund (GIPF)</t>
        </is>
      </c>
      <c r="C59" s="2" t="inlineStr">
        <is>
          <t>Public sector</t>
        </is>
      </c>
      <c r="D59" s="2" t="n">
        <v>1989</v>
      </c>
      <c r="E59" s="2" t="n">
        <v>9500</v>
      </c>
      <c r="F59" s="2" t="n">
        <v>2024</v>
      </c>
      <c r="G59" s="2" t="inlineStr">
        <is>
          <t>NAD</t>
        </is>
      </c>
      <c r="H59" s="2" t="inlineStr">
        <is>
          <t>NAMFISA</t>
        </is>
      </c>
      <c r="I59" s="2" t="inlineStr">
        <is>
          <t>Yes (annual report)</t>
        </is>
      </c>
      <c r="J59" s="2" t="inlineStr">
        <is>
          <t>H</t>
        </is>
      </c>
      <c r="K59" s="2" t="inlineStr">
        <is>
          <t>One of the most alts-active African pension funds; mandates an explicit unlisted-investment programme via SME/PE managers.</t>
        </is>
      </c>
    </row>
    <row r="60" ht="15" customHeight="1" s="16">
      <c r="A60" s="2" t="inlineStr">
        <is>
          <t>Namibia</t>
        </is>
      </c>
      <c r="B60" s="2" t="inlineStr">
        <is>
          <t>Old Mutual Namibia retirement funds</t>
        </is>
      </c>
      <c r="C60" s="2" t="inlineStr">
        <is>
          <t>DC umbrella</t>
        </is>
      </c>
      <c r="D60" s="2" t="n">
        <v>1920</v>
      </c>
      <c r="E60" s="2" t="n">
        <v>2000</v>
      </c>
      <c r="F60" s="2" t="n">
        <v>2024</v>
      </c>
      <c r="G60" s="2" t="inlineStr">
        <is>
          <t>NAD</t>
        </is>
      </c>
      <c r="H60" s="2" t="inlineStr">
        <is>
          <t>NAMFISA</t>
        </is>
      </c>
      <c r="I60" s="2" t="inlineStr">
        <is>
          <t>Yes</t>
        </is>
      </c>
      <c r="J60" s="2" t="inlineStr">
        <is>
          <t>M</t>
        </is>
      </c>
      <c r="K60" s="2" t="n"/>
    </row>
    <row r="61" ht="15" customHeight="1" s="16">
      <c r="A61" s="2" t="inlineStr">
        <is>
          <t>Namibia</t>
        </is>
      </c>
      <c r="B61" s="2" t="inlineStr">
        <is>
          <t>NAMCOR / parastatal pension schemes</t>
        </is>
      </c>
      <c r="C61" s="2" t="inlineStr">
        <is>
          <t>Various</t>
        </is>
      </c>
      <c r="D61" s="2" t="inlineStr">
        <is>
          <t>various</t>
        </is>
      </c>
      <c r="E61" s="2" t="n">
        <v>500</v>
      </c>
      <c r="F61" s="2" t="n">
        <v>2023</v>
      </c>
      <c r="G61" s="2" t="inlineStr">
        <is>
          <t>NAD</t>
        </is>
      </c>
      <c r="H61" s="2" t="inlineStr">
        <is>
          <t>NAMFISA</t>
        </is>
      </c>
      <c r="I61" s="2" t="inlineStr">
        <is>
          <t>Limited</t>
        </is>
      </c>
      <c r="J61" s="2" t="inlineStr">
        <is>
          <t>L</t>
        </is>
      </c>
      <c r="K61" s="2" t="n"/>
    </row>
    <row r="62" ht="23.25" customHeight="1" s="16">
      <c r="A62" s="2" t="inlineStr">
        <is>
          <t>Mauritius</t>
        </is>
      </c>
      <c r="B62" s="2" t="inlineStr">
        <is>
          <t>National Pensions Fund (NPF)</t>
        </is>
      </c>
      <c r="C62" s="2" t="inlineStr">
        <is>
          <t>Public, contributory</t>
        </is>
      </c>
      <c r="D62" s="2" t="n">
        <v>1976</v>
      </c>
      <c r="E62" s="2" t="n">
        <v>3000</v>
      </c>
      <c r="F62" s="2" t="n">
        <v>2024</v>
      </c>
      <c r="G62" s="2" t="inlineStr">
        <is>
          <t>MUR</t>
        </is>
      </c>
      <c r="H62" s="2" t="inlineStr">
        <is>
          <t>FSC / Min. Social Security</t>
        </is>
      </c>
      <c r="I62" s="2" t="inlineStr">
        <is>
          <t>Yes</t>
        </is>
      </c>
      <c r="J62" s="2" t="inlineStr">
        <is>
          <t>H</t>
        </is>
      </c>
      <c r="K62" s="2" t="inlineStr">
        <is>
          <t>Replaced by Contribution Sociale Généralisée (CSG) for new flows from 2020; NPF runs off legacy.</t>
        </is>
      </c>
    </row>
    <row r="63" ht="15" customHeight="1" s="16">
      <c r="A63" s="2" t="inlineStr">
        <is>
          <t>Mauritius</t>
        </is>
      </c>
      <c r="B63" s="2" t="inlineStr">
        <is>
          <t>SICOM Pension Schemes (parastatal)</t>
        </is>
      </c>
      <c r="C63" s="2" t="inlineStr">
        <is>
          <t>Multi-employer parastatal</t>
        </is>
      </c>
      <c r="D63" s="2" t="n">
        <v>1995</v>
      </c>
      <c r="E63" s="2" t="n">
        <v>1200</v>
      </c>
      <c r="F63" s="2" t="n">
        <v>2024</v>
      </c>
      <c r="G63" s="2" t="inlineStr">
        <is>
          <t>MUR</t>
        </is>
      </c>
      <c r="H63" s="2" t="inlineStr">
        <is>
          <t>FSC</t>
        </is>
      </c>
      <c r="I63" s="2" t="inlineStr">
        <is>
          <t>Yes</t>
        </is>
      </c>
      <c r="J63" s="2" t="inlineStr">
        <is>
          <t>M</t>
        </is>
      </c>
      <c r="K63" s="2" t="n"/>
    </row>
    <row r="64" ht="15" customHeight="1" s="16">
      <c r="A64" s="2" t="inlineStr">
        <is>
          <t>Mauritius</t>
        </is>
      </c>
      <c r="B64" s="2" t="inlineStr">
        <is>
          <t>Civil Service Family Protection Scheme (CSFPS)</t>
        </is>
      </c>
      <c r="C64" s="2" t="inlineStr">
        <is>
          <t>Public sector</t>
        </is>
      </c>
      <c r="D64" s="2" t="n">
        <v>1968</v>
      </c>
      <c r="E64" s="2" t="n">
        <v>600</v>
      </c>
      <c r="F64" s="2" t="n">
        <v>2023</v>
      </c>
      <c r="G64" s="2" t="inlineStr">
        <is>
          <t>MUR</t>
        </is>
      </c>
      <c r="H64" s="2" t="inlineStr">
        <is>
          <t>FSC</t>
        </is>
      </c>
      <c r="I64" s="2" t="inlineStr">
        <is>
          <t>Yes</t>
        </is>
      </c>
      <c r="J64" s="2" t="inlineStr">
        <is>
          <t>M</t>
        </is>
      </c>
      <c r="K64" s="2" t="n"/>
    </row>
    <row r="65" ht="15" customHeight="1" s="16">
      <c r="A65" s="2" t="inlineStr">
        <is>
          <t>Eswatini</t>
        </is>
      </c>
      <c r="B65" s="2" t="inlineStr">
        <is>
          <t>Public Service Pensions Fund (PSPF Eswatini)</t>
        </is>
      </c>
      <c r="C65" s="2" t="inlineStr">
        <is>
          <t>Public sector</t>
        </is>
      </c>
      <c r="D65" s="2" t="n">
        <v>1993</v>
      </c>
      <c r="E65" s="2" t="n">
        <v>800</v>
      </c>
      <c r="F65" s="2" t="n">
        <v>2023</v>
      </c>
      <c r="G65" s="2" t="inlineStr">
        <is>
          <t>SZL</t>
        </is>
      </c>
      <c r="H65" s="2" t="inlineStr">
        <is>
          <t>FSRA</t>
        </is>
      </c>
      <c r="I65" s="2" t="inlineStr">
        <is>
          <t>Yes</t>
        </is>
      </c>
      <c r="J65" s="2" t="inlineStr">
        <is>
          <t>M</t>
        </is>
      </c>
      <c r="K65" s="2" t="inlineStr">
        <is>
          <t>Defined benefit civil-service scheme.</t>
        </is>
      </c>
    </row>
    <row r="66" ht="15" customHeight="1" s="16">
      <c r="A66" s="2" t="inlineStr">
        <is>
          <t>Eswatini</t>
        </is>
      </c>
      <c r="B66" s="2" t="inlineStr">
        <is>
          <t>Eswatini National Provident Fund (ENPF)</t>
        </is>
      </c>
      <c r="C66" s="2" t="inlineStr">
        <is>
          <t>Public, mandatory</t>
        </is>
      </c>
      <c r="D66" s="2" t="n">
        <v>1974</v>
      </c>
      <c r="E66" s="2" t="n">
        <v>350</v>
      </c>
      <c r="F66" s="2" t="n">
        <v>2023</v>
      </c>
      <c r="G66" s="2" t="inlineStr">
        <is>
          <t>SZL</t>
        </is>
      </c>
      <c r="H66" s="2" t="inlineStr">
        <is>
          <t>FSRA</t>
        </is>
      </c>
      <c r="I66" s="2" t="inlineStr">
        <is>
          <t>Yes</t>
        </is>
      </c>
      <c r="J66" s="2" t="inlineStr">
        <is>
          <t>M</t>
        </is>
      </c>
      <c r="K66" s="2" t="n"/>
    </row>
    <row r="67" ht="23.25" customHeight="1" s="16">
      <c r="A67" s="2" t="inlineStr">
        <is>
          <t>Lesotho</t>
        </is>
      </c>
      <c r="B67" s="2" t="inlineStr">
        <is>
          <t>Public Officers' Defined Contribution Pension Fund (PODCPF)</t>
        </is>
      </c>
      <c r="C67" s="2" t="inlineStr">
        <is>
          <t>Public sector</t>
        </is>
      </c>
      <c r="D67" s="2" t="n">
        <v>2008</v>
      </c>
      <c r="E67" s="2" t="n">
        <v>400</v>
      </c>
      <c r="F67" s="2" t="n">
        <v>2023</v>
      </c>
      <c r="G67" s="2" t="inlineStr">
        <is>
          <t>LSL</t>
        </is>
      </c>
      <c r="H67" s="2" t="inlineStr">
        <is>
          <t>CBL</t>
        </is>
      </c>
      <c r="I67" s="2" t="inlineStr">
        <is>
          <t>Yes</t>
        </is>
      </c>
      <c r="J67" s="2" t="inlineStr">
        <is>
          <t>M</t>
        </is>
      </c>
      <c r="K67" s="2" t="n"/>
    </row>
    <row r="68" ht="15" customHeight="1" s="16">
      <c r="A68" s="2" t="inlineStr">
        <is>
          <t>Madagascar</t>
        </is>
      </c>
      <c r="B68" s="2" t="inlineStr">
        <is>
          <t>Caisse Nationale de Prévoyance Sociale (CNaPS)</t>
        </is>
      </c>
      <c r="C68" s="2" t="inlineStr">
        <is>
          <t>Public, mandatory</t>
        </is>
      </c>
      <c r="D68" s="2" t="n">
        <v>1969</v>
      </c>
      <c r="E68" s="2" t="n">
        <v>250</v>
      </c>
      <c r="F68" s="2" t="n">
        <v>2023</v>
      </c>
      <c r="G68" s="2" t="inlineStr">
        <is>
          <t>MGA</t>
        </is>
      </c>
      <c r="H68" s="2" t="inlineStr">
        <is>
          <t>Min. Social Affairs</t>
        </is>
      </c>
      <c r="I68" s="2" t="inlineStr">
        <is>
          <t>Limited</t>
        </is>
      </c>
      <c r="J68" s="2" t="inlineStr">
        <is>
          <t>L</t>
        </is>
      </c>
      <c r="K68" s="2" t="n"/>
    </row>
    <row r="69" ht="23.25" customHeight="1" s="16">
      <c r="A69" s="2" t="inlineStr">
        <is>
          <t>Madagascar</t>
        </is>
      </c>
      <c r="B69" s="2" t="inlineStr">
        <is>
          <t>Caisse de Retraite et de Prévoyance Sociale (CRCM, civil servants)</t>
        </is>
      </c>
      <c r="C69" s="2" t="inlineStr">
        <is>
          <t>Public sector</t>
        </is>
      </c>
      <c r="D69" s="2" t="inlineStr">
        <is>
          <t>various</t>
        </is>
      </c>
      <c r="E69" s="2" t="n">
        <v>300</v>
      </c>
      <c r="F69" s="2" t="n">
        <v>2023</v>
      </c>
      <c r="G69" s="2" t="inlineStr">
        <is>
          <t>MGA</t>
        </is>
      </c>
      <c r="H69" s="2" t="inlineStr">
        <is>
          <t>Min. Finance</t>
        </is>
      </c>
      <c r="I69" s="2" t="inlineStr">
        <is>
          <t>Limited</t>
        </is>
      </c>
      <c r="J69" s="2" t="inlineStr">
        <is>
          <t>L</t>
        </is>
      </c>
      <c r="K69" s="2" t="n"/>
    </row>
    <row r="70" ht="15" customHeight="1" s="16">
      <c r="A70" s="2" t="inlineStr">
        <is>
          <t>Malawi</t>
        </is>
      </c>
      <c r="B70" s="2" t="inlineStr">
        <is>
          <t>NICO Pension Services (largest private trustee)</t>
        </is>
      </c>
      <c r="C70" s="2" t="inlineStr">
        <is>
          <t>Private trustee</t>
        </is>
      </c>
      <c r="D70" s="2" t="n">
        <v>2011</v>
      </c>
      <c r="E70" s="2" t="n">
        <v>600</v>
      </c>
      <c r="F70" s="2" t="n">
        <v>2023</v>
      </c>
      <c r="G70" s="2" t="inlineStr">
        <is>
          <t>MWK</t>
        </is>
      </c>
      <c r="H70" s="2" t="inlineStr">
        <is>
          <t>RBM</t>
        </is>
      </c>
      <c r="I70" s="2" t="inlineStr">
        <is>
          <t>Yes</t>
        </is>
      </c>
      <c r="J70" s="2" t="inlineStr">
        <is>
          <t>M</t>
        </is>
      </c>
      <c r="K70" s="2" t="inlineStr">
        <is>
          <t>Pension reform 2011 created funded system.</t>
        </is>
      </c>
    </row>
    <row r="71" ht="15" customHeight="1" s="16">
      <c r="A71" s="2" t="inlineStr">
        <is>
          <t>Malawi</t>
        </is>
      </c>
      <c r="B71" s="2" t="inlineStr">
        <is>
          <t>Old Mutual Pension Services Malawi</t>
        </is>
      </c>
      <c r="C71" s="2" t="inlineStr">
        <is>
          <t>Private trustee</t>
        </is>
      </c>
      <c r="D71" s="2" t="n">
        <v>2011</v>
      </c>
      <c r="E71" s="2" t="n">
        <v>500</v>
      </c>
      <c r="F71" s="2" t="n">
        <v>2023</v>
      </c>
      <c r="G71" s="2" t="inlineStr">
        <is>
          <t>MWK</t>
        </is>
      </c>
      <c r="H71" s="2" t="inlineStr">
        <is>
          <t>RBM</t>
        </is>
      </c>
      <c r="I71" s="2" t="inlineStr">
        <is>
          <t>Yes</t>
        </is>
      </c>
      <c r="J71" s="2" t="inlineStr">
        <is>
          <t>M</t>
        </is>
      </c>
      <c r="K71" s="2" t="n"/>
    </row>
    <row r="72" ht="15" customHeight="1" s="16">
      <c r="A72" s="2" t="inlineStr">
        <is>
          <t>Senegal</t>
        </is>
      </c>
      <c r="B72" s="2" t="inlineStr">
        <is>
          <t>Institut de Prévoyance Retraite du Sénégal (IPRES)</t>
        </is>
      </c>
      <c r="C72" s="2" t="inlineStr">
        <is>
          <t>Private sector</t>
        </is>
      </c>
      <c r="D72" s="2" t="n">
        <v>1958</v>
      </c>
      <c r="E72" s="2" t="n">
        <v>800</v>
      </c>
      <c r="F72" s="2" t="n">
        <v>2023</v>
      </c>
      <c r="G72" s="2" t="inlineStr">
        <is>
          <t>XOF</t>
        </is>
      </c>
      <c r="H72" s="2" t="inlineStr">
        <is>
          <t>CIPRES</t>
        </is>
      </c>
      <c r="I72" s="2" t="inlineStr">
        <is>
          <t>Yes</t>
        </is>
      </c>
      <c r="J72" s="2" t="inlineStr">
        <is>
          <t>M</t>
        </is>
      </c>
      <c r="K72" s="2" t="n"/>
    </row>
    <row r="73" ht="15" customHeight="1" s="16">
      <c r="A73" s="2" t="inlineStr">
        <is>
          <t>Senegal</t>
        </is>
      </c>
      <c r="B73" s="2" t="inlineStr">
        <is>
          <t>Fonds National de Retraite (FNR)</t>
        </is>
      </c>
      <c r="C73" s="2" t="inlineStr">
        <is>
          <t>Civil service</t>
        </is>
      </c>
      <c r="D73" s="2" t="n">
        <v>1981</v>
      </c>
      <c r="E73" s="2" t="n">
        <v>400</v>
      </c>
      <c r="F73" s="2" t="n">
        <v>2023</v>
      </c>
      <c r="G73" s="2" t="inlineStr">
        <is>
          <t>XOF</t>
        </is>
      </c>
      <c r="H73" s="2" t="inlineStr">
        <is>
          <t>Min. Finance</t>
        </is>
      </c>
      <c r="I73" s="2" t="inlineStr">
        <is>
          <t>Limited</t>
        </is>
      </c>
      <c r="J73" s="2" t="inlineStr">
        <is>
          <t>M</t>
        </is>
      </c>
      <c r="K73" s="2" t="n"/>
    </row>
    <row r="74" ht="23.25" customHeight="1" s="16">
      <c r="A74" s="2" t="inlineStr">
        <is>
          <t>Senegal</t>
        </is>
      </c>
      <c r="B74" s="2" t="inlineStr">
        <is>
          <t>Caisse de Sécurité Sociale (CSS)</t>
        </is>
      </c>
      <c r="C74" s="2" t="inlineStr">
        <is>
          <t>Family allowances + workers comp</t>
        </is>
      </c>
      <c r="D74" s="2" t="n">
        <v>1973</v>
      </c>
      <c r="E74" s="2" t="n">
        <v>200</v>
      </c>
      <c r="F74" s="2" t="n">
        <v>2023</v>
      </c>
      <c r="G74" s="2" t="inlineStr">
        <is>
          <t>XOF</t>
        </is>
      </c>
      <c r="H74" s="2" t="inlineStr">
        <is>
          <t>CIPRES</t>
        </is>
      </c>
      <c r="I74" s="2" t="inlineStr">
        <is>
          <t>Limited</t>
        </is>
      </c>
      <c r="J74" s="2" t="inlineStr">
        <is>
          <t>L</t>
        </is>
      </c>
      <c r="K74" s="2" t="n"/>
    </row>
    <row r="75" ht="15" customHeight="1" s="16">
      <c r="A75" s="2" t="inlineStr">
        <is>
          <t>Côte d'Ivoire</t>
        </is>
      </c>
      <c r="B75" s="2" t="inlineStr">
        <is>
          <t>Caisse Générale de Retraite des Agents de l'État (CGRAE)</t>
        </is>
      </c>
      <c r="C75" s="2" t="inlineStr">
        <is>
          <t>Civil service</t>
        </is>
      </c>
      <c r="D75" s="2" t="n">
        <v>1958</v>
      </c>
      <c r="E75" s="2" t="n">
        <v>1800</v>
      </c>
      <c r="F75" s="2" t="n">
        <v>2024</v>
      </c>
      <c r="G75" s="2" t="inlineStr">
        <is>
          <t>XOF</t>
        </is>
      </c>
      <c r="H75" s="2" t="inlineStr">
        <is>
          <t>Min. Finance / CIPRES</t>
        </is>
      </c>
      <c r="I75" s="2" t="inlineStr">
        <is>
          <t>Yes</t>
        </is>
      </c>
      <c r="J75" s="2" t="inlineStr">
        <is>
          <t>M</t>
        </is>
      </c>
      <c r="K75" s="2" t="n"/>
    </row>
    <row r="76" ht="15" customHeight="1" s="16">
      <c r="A76" s="2" t="inlineStr">
        <is>
          <t>Côte d'Ivoire</t>
        </is>
      </c>
      <c r="B76" s="2" t="inlineStr">
        <is>
          <t>Caisse Nationale de Prévoyance Sociale (CNPS-CI)</t>
        </is>
      </c>
      <c r="C76" s="2" t="inlineStr">
        <is>
          <t>Private sector</t>
        </is>
      </c>
      <c r="D76" s="2" t="n">
        <v>1968</v>
      </c>
      <c r="E76" s="2" t="n">
        <v>1500</v>
      </c>
      <c r="F76" s="2" t="n">
        <v>2024</v>
      </c>
      <c r="G76" s="2" t="inlineStr">
        <is>
          <t>XOF</t>
        </is>
      </c>
      <c r="H76" s="2" t="inlineStr">
        <is>
          <t>CIPRES</t>
        </is>
      </c>
      <c r="I76" s="2" t="inlineStr">
        <is>
          <t>Yes</t>
        </is>
      </c>
      <c r="J76" s="2" t="inlineStr">
        <is>
          <t>M</t>
        </is>
      </c>
      <c r="K76" s="2" t="n"/>
    </row>
    <row r="77" ht="23.25" customHeight="1" s="16">
      <c r="A77" s="2" t="inlineStr">
        <is>
          <t>Cameroon</t>
        </is>
      </c>
      <c r="B77" s="2" t="inlineStr">
        <is>
          <t>Caisse Nationale de Prévoyance Sociale (CNPS Cameroon)</t>
        </is>
      </c>
      <c r="C77" s="2" t="inlineStr">
        <is>
          <t>Mandatory</t>
        </is>
      </c>
      <c r="D77" s="2" t="n">
        <v>1969</v>
      </c>
      <c r="E77" s="2" t="n">
        <v>900</v>
      </c>
      <c r="F77" s="2" t="n">
        <v>2023</v>
      </c>
      <c r="G77" s="2" t="inlineStr">
        <is>
          <t>XAF</t>
        </is>
      </c>
      <c r="H77" s="2" t="inlineStr">
        <is>
          <t>CIPRES</t>
        </is>
      </c>
      <c r="I77" s="2" t="inlineStr">
        <is>
          <t>Limited</t>
        </is>
      </c>
      <c r="J77" s="2" t="inlineStr">
        <is>
          <t>M</t>
        </is>
      </c>
      <c r="K77" s="2" t="n"/>
    </row>
    <row r="78" ht="15" customHeight="1" s="16">
      <c r="A78" s="2" t="inlineStr">
        <is>
          <t>Gabon</t>
        </is>
      </c>
      <c r="B78" s="2" t="inlineStr">
        <is>
          <t>Caisse Nationale de Sécurité Sociale (CNSS Gabon)</t>
        </is>
      </c>
      <c r="C78" s="2" t="inlineStr">
        <is>
          <t>Private sector</t>
        </is>
      </c>
      <c r="D78" s="2" t="n">
        <v>1963</v>
      </c>
      <c r="E78" s="2" t="n">
        <v>500</v>
      </c>
      <c r="F78" s="2" t="n">
        <v>2023</v>
      </c>
      <c r="G78" s="2" t="inlineStr">
        <is>
          <t>XAF</t>
        </is>
      </c>
      <c r="H78" s="2" t="inlineStr">
        <is>
          <t>CIPRES</t>
        </is>
      </c>
      <c r="I78" s="2" t="inlineStr">
        <is>
          <t>Limited</t>
        </is>
      </c>
      <c r="J78" s="2" t="inlineStr">
        <is>
          <t>M</t>
        </is>
      </c>
      <c r="K78" s="2" t="n"/>
    </row>
    <row r="79" ht="23.25" customHeight="1" s="16">
      <c r="A79" s="2" t="inlineStr">
        <is>
          <t>Gabon</t>
        </is>
      </c>
      <c r="B79" s="2" t="inlineStr">
        <is>
          <t>Caisse de Pensions et de Prestations Familiales des Agents de l'État (CPPF)</t>
        </is>
      </c>
      <c r="C79" s="2" t="inlineStr">
        <is>
          <t>Civil service</t>
        </is>
      </c>
      <c r="D79" s="2" t="n">
        <v>1983</v>
      </c>
      <c r="E79" s="2" t="n">
        <v>400</v>
      </c>
      <c r="F79" s="2" t="n">
        <v>2023</v>
      </c>
      <c r="G79" s="2" t="inlineStr">
        <is>
          <t>XAF</t>
        </is>
      </c>
      <c r="H79" s="2" t="inlineStr">
        <is>
          <t>Min. Finance</t>
        </is>
      </c>
      <c r="I79" s="2" t="inlineStr">
        <is>
          <t>Limited</t>
        </is>
      </c>
      <c r="J79" s="2" t="inlineStr">
        <is>
          <t>L</t>
        </is>
      </c>
      <c r="K79" s="2" t="n"/>
    </row>
    <row r="80" ht="15" customHeight="1" s="16">
      <c r="A80" s="2" t="inlineStr">
        <is>
          <t>DR Congo</t>
        </is>
      </c>
      <c r="B80" s="2" t="inlineStr">
        <is>
          <t>Caisse Nationale de Sécurité Sociale (CNSS DRC)</t>
        </is>
      </c>
      <c r="C80" s="2" t="inlineStr">
        <is>
          <t>Private sector</t>
        </is>
      </c>
      <c r="D80" s="2" t="n">
        <v>1961</v>
      </c>
      <c r="E80" s="2" t="n">
        <v>400</v>
      </c>
      <c r="F80" s="2" t="n">
        <v>2023</v>
      </c>
      <c r="G80" s="2" t="inlineStr">
        <is>
          <t>USD</t>
        </is>
      </c>
      <c r="H80" s="2" t="inlineStr">
        <is>
          <t>Min. Social Affairs</t>
        </is>
      </c>
      <c r="I80" s="2" t="inlineStr">
        <is>
          <t>Limited</t>
        </is>
      </c>
      <c r="J80" s="2" t="inlineStr">
        <is>
          <t>L</t>
        </is>
      </c>
      <c r="K80" s="2" t="n"/>
    </row>
    <row r="81" ht="23.25" customHeight="1" s="16">
      <c r="A81" s="2" t="inlineStr">
        <is>
          <t>DR Congo</t>
        </is>
      </c>
      <c r="B81" s="2" t="inlineStr">
        <is>
          <t>Institut National de Préparation Professionnelle (INPP) / civil service</t>
        </is>
      </c>
      <c r="C81" s="2" t="inlineStr">
        <is>
          <t>Civil service</t>
        </is>
      </c>
      <c r="D81" s="2" t="inlineStr">
        <is>
          <t>various</t>
        </is>
      </c>
      <c r="E81" s="2" t="n">
        <v>200</v>
      </c>
      <c r="F81" s="2" t="n">
        <v>2023</v>
      </c>
      <c r="G81" s="2" t="inlineStr">
        <is>
          <t>USD</t>
        </is>
      </c>
      <c r="H81" s="2" t="inlineStr">
        <is>
          <t>Min. Finance</t>
        </is>
      </c>
      <c r="I81" s="2" t="inlineStr">
        <is>
          <t>Limited</t>
        </is>
      </c>
      <c r="J81" s="2" t="inlineStr">
        <is>
          <t>L</t>
        </is>
      </c>
      <c r="K81" s="2" t="n"/>
    </row>
    <row r="82" ht="23.25" customHeight="1" s="16">
      <c r="A82" s="2" t="inlineStr">
        <is>
          <t>Ethiopia</t>
        </is>
      </c>
      <c r="B82" s="2" t="inlineStr">
        <is>
          <t>Public Servants Social Security Agency (POESSA)</t>
        </is>
      </c>
      <c r="C82" s="2" t="inlineStr">
        <is>
          <t>Civil service</t>
        </is>
      </c>
      <c r="D82" s="2" t="n">
        <v>2010</v>
      </c>
      <c r="E82" s="2" t="n">
        <v>3500</v>
      </c>
      <c r="F82" s="2" t="n">
        <v>2024</v>
      </c>
      <c r="G82" s="2" t="inlineStr">
        <is>
          <t>ETB</t>
        </is>
      </c>
      <c r="H82" s="2" t="inlineStr">
        <is>
          <t>MoF</t>
        </is>
      </c>
      <c r="I82" s="2" t="inlineStr">
        <is>
          <t>Yes (limited)</t>
        </is>
      </c>
      <c r="J82" s="2" t="inlineStr">
        <is>
          <t>M</t>
        </is>
      </c>
      <c r="K82" s="2" t="inlineStr">
        <is>
          <t>Largest public-pension AUM in Horn of Africa; primarily invested in government securities.</t>
        </is>
      </c>
    </row>
    <row r="83" ht="23.25" customHeight="1" s="16">
      <c r="A83" s="2" t="inlineStr">
        <is>
          <t>Ethiopia</t>
        </is>
      </c>
      <c r="B83" s="2" t="inlineStr">
        <is>
          <t>Private Organizations Employees Social Security Agency (POSSA)</t>
        </is>
      </c>
      <c r="C83" s="2" t="inlineStr">
        <is>
          <t>Private sector</t>
        </is>
      </c>
      <c r="D83" s="2" t="n">
        <v>2011</v>
      </c>
      <c r="E83" s="2" t="n">
        <v>1500</v>
      </c>
      <c r="F83" s="2" t="n">
        <v>2024</v>
      </c>
      <c r="G83" s="2" t="inlineStr">
        <is>
          <t>ETB</t>
        </is>
      </c>
      <c r="H83" s="2" t="inlineStr">
        <is>
          <t>MoF</t>
        </is>
      </c>
      <c r="I83" s="2" t="inlineStr">
        <is>
          <t>Yes (limited)</t>
        </is>
      </c>
      <c r="J83" s="2" t="inlineStr">
        <is>
          <t>M</t>
        </is>
      </c>
      <c r="K83" s="2" t="n"/>
    </row>
    <row r="84" ht="23.25" customHeight="1" s="16">
      <c r="A84" s="2" t="inlineStr">
        <is>
          <t>Egypt</t>
        </is>
      </c>
      <c r="B84" s="2" t="inlineStr">
        <is>
          <t>National Social Insurance Authority (NOSI / NSSA)</t>
        </is>
      </c>
      <c r="C84" s="2" t="inlineStr">
        <is>
          <t>Public, mandatory (consolidated)</t>
        </is>
      </c>
      <c r="D84" s="2" t="n">
        <v>2019</v>
      </c>
      <c r="E84" s="2" t="n">
        <v>110000</v>
      </c>
      <c r="F84" s="2" t="n">
        <v>2024</v>
      </c>
      <c r="G84" s="2" t="inlineStr">
        <is>
          <t>EGP</t>
        </is>
      </c>
      <c r="H84" s="2" t="inlineStr">
        <is>
          <t>FRA</t>
        </is>
      </c>
      <c r="I84" s="2" t="inlineStr">
        <is>
          <t>Yes</t>
        </is>
      </c>
      <c r="J84" s="2" t="inlineStr">
        <is>
          <t>M</t>
        </is>
      </c>
      <c r="K84" s="2" t="inlineStr">
        <is>
          <t>Successor to merged civil-service + general pension authorities; vast AUM mostly in EGP gov't paper. Africa-alts exposure historically minimal.</t>
        </is>
      </c>
    </row>
    <row r="85" ht="23.25" customHeight="1" s="16">
      <c r="A85" s="2" t="inlineStr">
        <is>
          <t>Egypt</t>
        </is>
      </c>
      <c r="B85" s="2" t="inlineStr">
        <is>
          <t>National Investment Bank (NIB) - legacy pension assets</t>
        </is>
      </c>
      <c r="C85" s="2" t="inlineStr">
        <is>
          <t>Sovereign deposit / pension reserves</t>
        </is>
      </c>
      <c r="D85" s="2" t="n">
        <v>1980</v>
      </c>
      <c r="E85" s="2" t="n">
        <v>30000</v>
      </c>
      <c r="F85" s="2" t="n">
        <v>2023</v>
      </c>
      <c r="G85" s="2" t="inlineStr">
        <is>
          <t>EGP</t>
        </is>
      </c>
      <c r="H85" s="2" t="inlineStr">
        <is>
          <t>MoF / CBE</t>
        </is>
      </c>
      <c r="I85" s="2" t="inlineStr">
        <is>
          <t>Limited</t>
        </is>
      </c>
      <c r="J85" s="2" t="inlineStr">
        <is>
          <t>L</t>
        </is>
      </c>
      <c r="K85" s="2" t="inlineStr">
        <is>
          <t>Has historically held pension surpluses; structure under reform.</t>
        </is>
      </c>
    </row>
    <row r="86" ht="23.25" customHeight="1" s="16">
      <c r="A86" s="2" t="inlineStr">
        <is>
          <t>Morocco</t>
        </is>
      </c>
      <c r="B86" s="2" t="inlineStr">
        <is>
          <t>Caisse de Dépôt et de Gestion (CDG)</t>
        </is>
      </c>
      <c r="C86" s="2" t="inlineStr">
        <is>
          <t>Sovereign financial group + pension manager</t>
        </is>
      </c>
      <c r="D86" s="2" t="n">
        <v>1959</v>
      </c>
      <c r="E86" s="2" t="n">
        <v>28000</v>
      </c>
      <c r="F86" s="2" t="n">
        <v>2024</v>
      </c>
      <c r="G86" s="2" t="inlineStr">
        <is>
          <t>MAD</t>
        </is>
      </c>
      <c r="H86" s="2" t="inlineStr">
        <is>
          <t>Min. Finance</t>
        </is>
      </c>
      <c r="I86" s="2" t="inlineStr">
        <is>
          <t>Yes (annual report)</t>
        </is>
      </c>
      <c r="J86" s="2" t="inlineStr">
        <is>
          <t>H</t>
        </is>
      </c>
      <c r="K86" s="2" t="inlineStr">
        <is>
          <t>Holds and manages pension reserves; major LP in Moroccan and pan-African PE/infrastructure.</t>
        </is>
      </c>
    </row>
    <row r="87" ht="15" customHeight="1" s="16">
      <c r="A87" s="2" t="inlineStr">
        <is>
          <t>Morocco</t>
        </is>
      </c>
      <c r="B87" s="2" t="inlineStr">
        <is>
          <t>Caisse Marocaine des Retraites (CMR)</t>
        </is>
      </c>
      <c r="C87" s="2" t="inlineStr">
        <is>
          <t>Civil service</t>
        </is>
      </c>
      <c r="D87" s="2" t="n">
        <v>1930</v>
      </c>
      <c r="E87" s="2" t="n">
        <v>14500</v>
      </c>
      <c r="F87" s="2" t="n">
        <v>2024</v>
      </c>
      <c r="G87" s="2" t="inlineStr">
        <is>
          <t>MAD</t>
        </is>
      </c>
      <c r="H87" s="2" t="inlineStr">
        <is>
          <t>ACAPS</t>
        </is>
      </c>
      <c r="I87" s="2" t="inlineStr">
        <is>
          <t>Yes</t>
        </is>
      </c>
      <c r="J87" s="2" t="inlineStr">
        <is>
          <t>H</t>
        </is>
      </c>
      <c r="K87" s="2" t="n"/>
    </row>
    <row r="88" ht="15" customHeight="1" s="16">
      <c r="A88" s="2" t="inlineStr">
        <is>
          <t>Morocco</t>
        </is>
      </c>
      <c r="B88" s="2" t="inlineStr">
        <is>
          <t>Caisse Nationale de Sécurité Sociale (CNSS Morocco)</t>
        </is>
      </c>
      <c r="C88" s="2" t="inlineStr">
        <is>
          <t>Private sector</t>
        </is>
      </c>
      <c r="D88" s="2" t="n">
        <v>1959</v>
      </c>
      <c r="E88" s="2" t="n">
        <v>8500</v>
      </c>
      <c r="F88" s="2" t="n">
        <v>2024</v>
      </c>
      <c r="G88" s="2" t="inlineStr">
        <is>
          <t>MAD</t>
        </is>
      </c>
      <c r="H88" s="2" t="inlineStr">
        <is>
          <t>ACAPS</t>
        </is>
      </c>
      <c r="I88" s="2" t="inlineStr">
        <is>
          <t>Yes</t>
        </is>
      </c>
      <c r="J88" s="2" t="inlineStr">
        <is>
          <t>H</t>
        </is>
      </c>
      <c r="K88" s="2" t="n"/>
    </row>
    <row r="89" ht="15" customHeight="1" s="16">
      <c r="A89" s="2" t="inlineStr">
        <is>
          <t>Morocco</t>
        </is>
      </c>
      <c r="B89" s="2" t="inlineStr">
        <is>
          <t>Régime Collectif d'Allocation de Retraite (RCAR)</t>
        </is>
      </c>
      <c r="C89" s="2" t="inlineStr">
        <is>
          <t>Parastatal</t>
        </is>
      </c>
      <c r="D89" s="2" t="n">
        <v>1977</v>
      </c>
      <c r="E89" s="2" t="n">
        <v>13000</v>
      </c>
      <c r="F89" s="2" t="n">
        <v>2024</v>
      </c>
      <c r="G89" s="2" t="inlineStr">
        <is>
          <t>MAD</t>
        </is>
      </c>
      <c r="H89" s="2" t="inlineStr">
        <is>
          <t>ACAPS</t>
        </is>
      </c>
      <c r="I89" s="2" t="inlineStr">
        <is>
          <t>Yes</t>
        </is>
      </c>
      <c r="J89" s="2" t="inlineStr">
        <is>
          <t>H</t>
        </is>
      </c>
      <c r="K89" s="2" t="inlineStr">
        <is>
          <t>Managed by CDG.</t>
        </is>
      </c>
    </row>
    <row r="90" ht="15" customHeight="1" s="16">
      <c r="A90" s="2" t="inlineStr">
        <is>
          <t>Morocco</t>
        </is>
      </c>
      <c r="B90" s="2" t="inlineStr">
        <is>
          <t>Caisse Interprofessionnelle Marocaine de Retraite (CIMR)</t>
        </is>
      </c>
      <c r="C90" s="2" t="inlineStr">
        <is>
          <t>Private complementary</t>
        </is>
      </c>
      <c r="D90" s="2" t="n">
        <v>1949</v>
      </c>
      <c r="E90" s="2" t="n">
        <v>8500</v>
      </c>
      <c r="F90" s="2" t="n">
        <v>2024</v>
      </c>
      <c r="G90" s="2" t="inlineStr">
        <is>
          <t>MAD</t>
        </is>
      </c>
      <c r="H90" s="2" t="inlineStr">
        <is>
          <t>ACAPS</t>
        </is>
      </c>
      <c r="I90" s="2" t="inlineStr">
        <is>
          <t>Yes</t>
        </is>
      </c>
      <c r="J90" s="2" t="inlineStr">
        <is>
          <t>H</t>
        </is>
      </c>
      <c r="K90" s="2" t="inlineStr">
        <is>
          <t>Voluntary supplementary scheme.</t>
        </is>
      </c>
    </row>
    <row r="91" ht="15" customHeight="1" s="16">
      <c r="A91" s="2" t="inlineStr">
        <is>
          <t>Tunisia</t>
        </is>
      </c>
      <c r="B91" s="2" t="inlineStr">
        <is>
          <t>Caisse Nationale de Sécurité Sociale (CNSS Tunisia)</t>
        </is>
      </c>
      <c r="C91" s="2" t="inlineStr">
        <is>
          <t>Private sector</t>
        </is>
      </c>
      <c r="D91" s="2" t="n">
        <v>1960</v>
      </c>
      <c r="E91" s="2" t="n">
        <v>1500</v>
      </c>
      <c r="F91" s="2" t="n">
        <v>2023</v>
      </c>
      <c r="G91" s="2" t="inlineStr">
        <is>
          <t>TND</t>
        </is>
      </c>
      <c r="H91" s="2" t="inlineStr">
        <is>
          <t>Min. Social Affairs</t>
        </is>
      </c>
      <c r="I91" s="2" t="inlineStr">
        <is>
          <t>Yes</t>
        </is>
      </c>
      <c r="J91" s="2" t="inlineStr">
        <is>
          <t>M</t>
        </is>
      </c>
      <c r="K91" s="2" t="n"/>
    </row>
    <row r="92" ht="23.25" customHeight="1" s="16">
      <c r="A92" s="2" t="inlineStr">
        <is>
          <t>Tunisia</t>
        </is>
      </c>
      <c r="B92" s="2" t="inlineStr">
        <is>
          <t>Caisse Nationale de Retraite et de Prévoyance Sociale (CNRPS)</t>
        </is>
      </c>
      <c r="C92" s="2" t="inlineStr">
        <is>
          <t>Civil service</t>
        </is>
      </c>
      <c r="D92" s="2" t="n">
        <v>1975</v>
      </c>
      <c r="E92" s="2" t="n">
        <v>2200</v>
      </c>
      <c r="F92" s="2" t="n">
        <v>2023</v>
      </c>
      <c r="G92" s="2" t="inlineStr">
        <is>
          <t>TND</t>
        </is>
      </c>
      <c r="H92" s="2" t="inlineStr">
        <is>
          <t>Min. Social Affairs</t>
        </is>
      </c>
      <c r="I92" s="2" t="inlineStr">
        <is>
          <t>Yes</t>
        </is>
      </c>
      <c r="J92" s="2" t="inlineStr">
        <is>
          <t>M</t>
        </is>
      </c>
      <c r="K92" s="2" t="n"/>
    </row>
    <row r="93" ht="15" customHeight="1" s="16">
      <c r="A93" s="2" t="inlineStr">
        <is>
          <t>Tunisia</t>
        </is>
      </c>
      <c r="B93" s="2" t="inlineStr">
        <is>
          <t>Caisse d'Assurance Maladie (CNAM)</t>
        </is>
      </c>
      <c r="C93" s="2" t="inlineStr">
        <is>
          <t>Health insurance</t>
        </is>
      </c>
      <c r="D93" s="2" t="n">
        <v>2004</v>
      </c>
      <c r="E93" s="2" t="n">
        <v>600</v>
      </c>
      <c r="F93" s="2" t="n">
        <v>2023</v>
      </c>
      <c r="G93" s="2" t="inlineStr">
        <is>
          <t>TND</t>
        </is>
      </c>
      <c r="H93" s="2" t="inlineStr">
        <is>
          <t>Min. Social Affairs</t>
        </is>
      </c>
      <c r="I93" s="2" t="inlineStr">
        <is>
          <t>Limited</t>
        </is>
      </c>
      <c r="J93" s="2" t="inlineStr">
        <is>
          <t>L</t>
        </is>
      </c>
      <c r="K93" s="2" t="n"/>
    </row>
    <row r="94" ht="15" customHeight="1" s="16">
      <c r="A94" s="2" t="inlineStr">
        <is>
          <t>Algeria</t>
        </is>
      </c>
      <c r="B94" s="2" t="inlineStr">
        <is>
          <t>Caisse Nationale des Retraites (CNR)</t>
        </is>
      </c>
      <c r="C94" s="2" t="inlineStr">
        <is>
          <t>Public, mandatory</t>
        </is>
      </c>
      <c r="D94" s="2" t="n">
        <v>1983</v>
      </c>
      <c r="E94" s="2" t="n">
        <v>3000</v>
      </c>
      <c r="F94" s="2" t="n">
        <v>2023</v>
      </c>
      <c r="G94" s="2" t="inlineStr">
        <is>
          <t>DZD</t>
        </is>
      </c>
      <c r="H94" s="2" t="inlineStr">
        <is>
          <t>Min. Labour / Social Security</t>
        </is>
      </c>
      <c r="I94" s="2" t="inlineStr">
        <is>
          <t>Limited</t>
        </is>
      </c>
      <c r="J94" s="2" t="inlineStr">
        <is>
          <t>M</t>
        </is>
      </c>
      <c r="K94" s="2" t="n"/>
    </row>
    <row r="95" ht="15" customHeight="1" s="16">
      <c r="A95" s="2" t="inlineStr">
        <is>
          <t>Algeria</t>
        </is>
      </c>
      <c r="B95" s="2" t="inlineStr">
        <is>
          <t>Caisse Nationale des Assurances Sociales (CNAS)</t>
        </is>
      </c>
      <c r="C95" s="2" t="inlineStr">
        <is>
          <t>Salaried workers</t>
        </is>
      </c>
      <c r="D95" s="2" t="n">
        <v>1992</v>
      </c>
      <c r="E95" s="2" t="n">
        <v>1500</v>
      </c>
      <c r="F95" s="2" t="n">
        <v>2023</v>
      </c>
      <c r="G95" s="2" t="inlineStr">
        <is>
          <t>DZD</t>
        </is>
      </c>
      <c r="H95" s="2" t="inlineStr">
        <is>
          <t>Min. Labour</t>
        </is>
      </c>
      <c r="I95" s="2" t="inlineStr">
        <is>
          <t>Limited</t>
        </is>
      </c>
      <c r="J95" s="2" t="inlineStr">
        <is>
          <t>M</t>
        </is>
      </c>
      <c r="K95" s="2" t="n"/>
    </row>
    <row r="96" ht="23.25" customHeight="1" s="16">
      <c r="A96" s="2" t="inlineStr">
        <is>
          <t>Algeria</t>
        </is>
      </c>
      <c r="B96" s="2" t="inlineStr">
        <is>
          <t>Caisse Nationale de Sécurité Sociale des Non-Salariés (CASNOS)</t>
        </is>
      </c>
      <c r="C96" s="2" t="inlineStr">
        <is>
          <t>Self-employed</t>
        </is>
      </c>
      <c r="D96" s="2" t="n">
        <v>1992</v>
      </c>
      <c r="E96" s="2" t="n">
        <v>400</v>
      </c>
      <c r="F96" s="2" t="n">
        <v>2023</v>
      </c>
      <c r="G96" s="2" t="inlineStr">
        <is>
          <t>DZD</t>
        </is>
      </c>
      <c r="H96" s="2" t="inlineStr">
        <is>
          <t>Min. Labour</t>
        </is>
      </c>
      <c r="I96" s="2" t="inlineStr">
        <is>
          <t>Limited</t>
        </is>
      </c>
      <c r="J96" s="2" t="inlineStr">
        <is>
          <t>L</t>
        </is>
      </c>
      <c r="K96" s="2" t="n"/>
    </row>
    <row r="97" ht="15" customHeight="1" s="16">
      <c r="A97" s="2" t="inlineStr">
        <is>
          <t>Libya</t>
        </is>
      </c>
      <c r="B97" s="2" t="inlineStr">
        <is>
          <t>Social Security Fund of Libya (SSF)</t>
        </is>
      </c>
      <c r="C97" s="2" t="inlineStr">
        <is>
          <t>Public, mandatory</t>
        </is>
      </c>
      <c r="D97" s="2" t="n">
        <v>1980</v>
      </c>
      <c r="E97" s="2" t="n">
        <v>9000</v>
      </c>
      <c r="F97" s="2" t="n">
        <v>2023</v>
      </c>
      <c r="G97" s="2" t="inlineStr">
        <is>
          <t>LYD</t>
        </is>
      </c>
      <c r="H97" s="2" t="inlineStr">
        <is>
          <t>Min. Social Affairs</t>
        </is>
      </c>
      <c r="I97" s="2" t="inlineStr">
        <is>
          <t>Limited</t>
        </is>
      </c>
      <c r="J97" s="2" t="inlineStr">
        <is>
          <t>L</t>
        </is>
      </c>
      <c r="K97" s="2" t="inlineStr">
        <is>
          <t>Largely invested in domestic deposits; political instability constrains AM.</t>
        </is>
      </c>
    </row>
    <row r="98" ht="15" customHeight="1" s="16">
      <c r="A98" s="2" t="inlineStr">
        <is>
          <t>Burkina Faso</t>
        </is>
      </c>
      <c r="B98" s="2" t="inlineStr">
        <is>
          <t>Caisse Nationale de Sécurité Sociale (CNSS Burkina)</t>
        </is>
      </c>
      <c r="C98" s="2" t="inlineStr">
        <is>
          <t>Mandatory</t>
        </is>
      </c>
      <c r="D98" s="2" t="n">
        <v>1955</v>
      </c>
      <c r="E98" s="2" t="n">
        <v>600</v>
      </c>
      <c r="F98" s="2" t="n">
        <v>2023</v>
      </c>
      <c r="G98" s="2" t="inlineStr">
        <is>
          <t>XOF</t>
        </is>
      </c>
      <c r="H98" s="2" t="inlineStr">
        <is>
          <t>CIPRES</t>
        </is>
      </c>
      <c r="I98" s="2" t="inlineStr">
        <is>
          <t>Limited</t>
        </is>
      </c>
      <c r="J98" s="2" t="inlineStr">
        <is>
          <t>M</t>
        </is>
      </c>
      <c r="K98" s="2" t="n"/>
    </row>
    <row r="99" ht="15" customHeight="1" s="16">
      <c r="A99" s="2" t="inlineStr">
        <is>
          <t>Burkina Faso</t>
        </is>
      </c>
      <c r="B99" s="2" t="inlineStr">
        <is>
          <t>Caisse Autonome de Retraite des Fonctionnaires (CARFO)</t>
        </is>
      </c>
      <c r="C99" s="2" t="inlineStr">
        <is>
          <t>Civil service</t>
        </is>
      </c>
      <c r="D99" s="2" t="n">
        <v>1986</v>
      </c>
      <c r="E99" s="2" t="n">
        <v>400</v>
      </c>
      <c r="F99" s="2" t="n">
        <v>2023</v>
      </c>
      <c r="G99" s="2" t="inlineStr">
        <is>
          <t>XOF</t>
        </is>
      </c>
      <c r="H99" s="2" t="inlineStr">
        <is>
          <t>Min. Finance</t>
        </is>
      </c>
      <c r="I99" s="2" t="inlineStr">
        <is>
          <t>Limited</t>
        </is>
      </c>
      <c r="J99" s="2" t="inlineStr">
        <is>
          <t>M</t>
        </is>
      </c>
      <c r="K99" s="2" t="n"/>
    </row>
    <row r="100" ht="15" customHeight="1" s="16">
      <c r="A100" s="2" t="inlineStr">
        <is>
          <t>Mali</t>
        </is>
      </c>
      <c r="B100" s="2" t="inlineStr">
        <is>
          <t>Institut National de Prévoyance Sociale (INPS Mali)</t>
        </is>
      </c>
      <c r="C100" s="2" t="inlineStr">
        <is>
          <t>Mandatory</t>
        </is>
      </c>
      <c r="D100" s="2" t="n">
        <v>1961</v>
      </c>
      <c r="E100" s="2" t="n">
        <v>300</v>
      </c>
      <c r="F100" s="2" t="n">
        <v>2023</v>
      </c>
      <c r="G100" s="2" t="inlineStr">
        <is>
          <t>XOF</t>
        </is>
      </c>
      <c r="H100" s="2" t="inlineStr">
        <is>
          <t>CIPRES</t>
        </is>
      </c>
      <c r="I100" s="2" t="inlineStr">
        <is>
          <t>Limited</t>
        </is>
      </c>
      <c r="J100" s="2" t="inlineStr">
        <is>
          <t>L</t>
        </is>
      </c>
      <c r="K100" s="2" t="n"/>
    </row>
    <row r="101" ht="15" customHeight="1" s="16">
      <c r="A101" s="2" t="inlineStr">
        <is>
          <t>Mali</t>
        </is>
      </c>
      <c r="B101" s="2" t="inlineStr">
        <is>
          <t>Caisse Malienne de Sécurité Sociale (CMSS)</t>
        </is>
      </c>
      <c r="C101" s="2" t="inlineStr">
        <is>
          <t>Civil service</t>
        </is>
      </c>
      <c r="D101" s="2" t="n">
        <v>1961</v>
      </c>
      <c r="E101" s="2" t="n">
        <v>250</v>
      </c>
      <c r="F101" s="2" t="n">
        <v>2023</v>
      </c>
      <c r="G101" s="2" t="inlineStr">
        <is>
          <t>XOF</t>
        </is>
      </c>
      <c r="H101" s="2" t="inlineStr">
        <is>
          <t>Min. Finance</t>
        </is>
      </c>
      <c r="I101" s="2" t="inlineStr">
        <is>
          <t>Limited</t>
        </is>
      </c>
      <c r="J101" s="2" t="inlineStr">
        <is>
          <t>L</t>
        </is>
      </c>
      <c r="K101" s="2" t="n"/>
    </row>
    <row r="102" ht="15" customHeight="1" s="16">
      <c r="A102" s="2" t="inlineStr">
        <is>
          <t>Benin</t>
        </is>
      </c>
      <c r="B102" s="2" t="inlineStr">
        <is>
          <t>Caisse Nationale de Sécurité Sociale (CNSS Benin)</t>
        </is>
      </c>
      <c r="C102" s="2" t="inlineStr">
        <is>
          <t>Mandatory</t>
        </is>
      </c>
      <c r="D102" s="2" t="n">
        <v>1970</v>
      </c>
      <c r="E102" s="2" t="n">
        <v>350</v>
      </c>
      <c r="F102" s="2" t="n">
        <v>2023</v>
      </c>
      <c r="G102" s="2" t="inlineStr">
        <is>
          <t>XOF</t>
        </is>
      </c>
      <c r="H102" s="2" t="inlineStr">
        <is>
          <t>CIPRES</t>
        </is>
      </c>
      <c r="I102" s="2" t="inlineStr">
        <is>
          <t>Limited</t>
        </is>
      </c>
      <c r="J102" s="2" t="inlineStr">
        <is>
          <t>M</t>
        </is>
      </c>
      <c r="K102" s="2" t="n"/>
    </row>
    <row r="103" ht="15" customHeight="1" s="16">
      <c r="A103" s="2" t="inlineStr">
        <is>
          <t>Benin</t>
        </is>
      </c>
      <c r="B103" s="2" t="inlineStr">
        <is>
          <t>Fonds National de Retraite du Bénin (FNRB)</t>
        </is>
      </c>
      <c r="C103" s="2" t="inlineStr">
        <is>
          <t>Civil service</t>
        </is>
      </c>
      <c r="D103" s="2" t="n">
        <v>1986</v>
      </c>
      <c r="E103" s="2" t="n">
        <v>250</v>
      </c>
      <c r="F103" s="2" t="n">
        <v>2023</v>
      </c>
      <c r="G103" s="2" t="inlineStr">
        <is>
          <t>XOF</t>
        </is>
      </c>
      <c r="H103" s="2" t="inlineStr">
        <is>
          <t>Min. Finance</t>
        </is>
      </c>
      <c r="I103" s="2" t="inlineStr">
        <is>
          <t>Limited</t>
        </is>
      </c>
      <c r="J103" s="2" t="inlineStr">
        <is>
          <t>L</t>
        </is>
      </c>
      <c r="K103" s="2" t="n"/>
    </row>
    <row r="104" ht="15" customHeight="1" s="16">
      <c r="A104" s="2" t="inlineStr">
        <is>
          <t>Niger</t>
        </is>
      </c>
      <c r="B104" s="2" t="inlineStr">
        <is>
          <t>Caisse Nationale de Sécurité Sociale (CNSS Niger)</t>
        </is>
      </c>
      <c r="C104" s="2" t="inlineStr">
        <is>
          <t>Mandatory</t>
        </is>
      </c>
      <c r="D104" s="2" t="n">
        <v>1967</v>
      </c>
      <c r="E104" s="2" t="n">
        <v>200</v>
      </c>
      <c r="F104" s="2" t="n">
        <v>2023</v>
      </c>
      <c r="G104" s="2" t="inlineStr">
        <is>
          <t>XOF</t>
        </is>
      </c>
      <c r="H104" s="2" t="inlineStr">
        <is>
          <t>CIPRES</t>
        </is>
      </c>
      <c r="I104" s="2" t="inlineStr">
        <is>
          <t>Limited</t>
        </is>
      </c>
      <c r="J104" s="2" t="inlineStr">
        <is>
          <t>L</t>
        </is>
      </c>
      <c r="K104" s="2" t="n"/>
    </row>
    <row r="105" ht="15" customHeight="1" s="16">
      <c r="A105" s="2" t="inlineStr">
        <is>
          <t>Togo</t>
        </is>
      </c>
      <c r="B105" s="2" t="inlineStr">
        <is>
          <t>Caisse Nationale de Sécurité Sociale (CNSS Togo)</t>
        </is>
      </c>
      <c r="C105" s="2" t="inlineStr">
        <is>
          <t>Mandatory</t>
        </is>
      </c>
      <c r="D105" s="2" t="n">
        <v>1973</v>
      </c>
      <c r="E105" s="2" t="n">
        <v>250</v>
      </c>
      <c r="F105" s="2" t="n">
        <v>2023</v>
      </c>
      <c r="G105" s="2" t="inlineStr">
        <is>
          <t>XOF</t>
        </is>
      </c>
      <c r="H105" s="2" t="inlineStr">
        <is>
          <t>CIPRES</t>
        </is>
      </c>
      <c r="I105" s="2" t="inlineStr">
        <is>
          <t>Limited</t>
        </is>
      </c>
      <c r="J105" s="2" t="inlineStr">
        <is>
          <t>L</t>
        </is>
      </c>
      <c r="K105" s="2" t="n"/>
    </row>
    <row r="106" ht="15" customHeight="1" s="16">
      <c r="A106" s="2" t="inlineStr">
        <is>
          <t>Togo</t>
        </is>
      </c>
      <c r="B106" s="2" t="inlineStr">
        <is>
          <t>Caisse de Retraite du Togo (CRT)</t>
        </is>
      </c>
      <c r="C106" s="2" t="inlineStr">
        <is>
          <t>Civil service</t>
        </is>
      </c>
      <c r="D106" s="2" t="n">
        <v>1991</v>
      </c>
      <c r="E106" s="2" t="n">
        <v>200</v>
      </c>
      <c r="F106" s="2" t="n">
        <v>2023</v>
      </c>
      <c r="G106" s="2" t="inlineStr">
        <is>
          <t>XOF</t>
        </is>
      </c>
      <c r="H106" s="2" t="inlineStr">
        <is>
          <t>Min. Finance</t>
        </is>
      </c>
      <c r="I106" s="2" t="inlineStr">
        <is>
          <t>Limited</t>
        </is>
      </c>
      <c r="J106" s="2" t="inlineStr">
        <is>
          <t>L</t>
        </is>
      </c>
      <c r="K106" s="2" t="n"/>
    </row>
    <row r="107" ht="15" customHeight="1" s="16">
      <c r="A107" s="2" t="inlineStr">
        <is>
          <t>Guinea</t>
        </is>
      </c>
      <c r="B107" s="2" t="inlineStr">
        <is>
          <t>Caisse Nationale de Sécurité Sociale (CNSS Guinea)</t>
        </is>
      </c>
      <c r="C107" s="2" t="inlineStr">
        <is>
          <t>Mandatory</t>
        </is>
      </c>
      <c r="D107" s="2" t="n">
        <v>1960</v>
      </c>
      <c r="E107" s="2" t="n">
        <v>200</v>
      </c>
      <c r="F107" s="2" t="n">
        <v>2023</v>
      </c>
      <c r="G107" s="2" t="inlineStr">
        <is>
          <t>GNF</t>
        </is>
      </c>
      <c r="H107" s="2" t="inlineStr">
        <is>
          <t>Min. Social Affairs</t>
        </is>
      </c>
      <c r="I107" s="2" t="inlineStr">
        <is>
          <t>Limited</t>
        </is>
      </c>
      <c r="J107" s="2" t="inlineStr">
        <is>
          <t>L</t>
        </is>
      </c>
      <c r="K107" s="2" t="n"/>
    </row>
    <row r="108" ht="15" customHeight="1" s="16">
      <c r="A108" s="2" t="inlineStr">
        <is>
          <t>Guinea-Bissau</t>
        </is>
      </c>
      <c r="B108" s="2" t="inlineStr">
        <is>
          <t>Instituto Nacional de Segurança Social (INSS GB)</t>
        </is>
      </c>
      <c r="C108" s="2" t="inlineStr">
        <is>
          <t>Mandatory</t>
        </is>
      </c>
      <c r="D108" s="2" t="n">
        <v>1986</v>
      </c>
      <c r="E108" s="2" t="n">
        <v>30</v>
      </c>
      <c r="F108" s="2" t="n">
        <v>2022</v>
      </c>
      <c r="G108" s="2" t="inlineStr">
        <is>
          <t>XOF</t>
        </is>
      </c>
      <c r="H108" s="2" t="inlineStr">
        <is>
          <t>Min. Finance</t>
        </is>
      </c>
      <c r="I108" s="2" t="inlineStr">
        <is>
          <t>Limited</t>
        </is>
      </c>
      <c r="J108" s="2" t="inlineStr">
        <is>
          <t>L</t>
        </is>
      </c>
      <c r="K108" s="2" t="inlineStr">
        <is>
          <t>Very small.</t>
        </is>
      </c>
    </row>
    <row r="109" ht="15" customHeight="1" s="16">
      <c r="A109" s="2" t="inlineStr">
        <is>
          <t>Congo (Brazzaville)</t>
        </is>
      </c>
      <c r="B109" s="2" t="inlineStr">
        <is>
          <t>Caisse Nationale de Sécurité Sociale (CNSS Congo)</t>
        </is>
      </c>
      <c r="C109" s="2" t="inlineStr">
        <is>
          <t>Mandatory</t>
        </is>
      </c>
      <c r="D109" s="2" t="n">
        <v>1986</v>
      </c>
      <c r="E109" s="2" t="n">
        <v>300</v>
      </c>
      <c r="F109" s="2" t="n">
        <v>2023</v>
      </c>
      <c r="G109" s="2" t="inlineStr">
        <is>
          <t>XAF</t>
        </is>
      </c>
      <c r="H109" s="2" t="inlineStr">
        <is>
          <t>CIPRES</t>
        </is>
      </c>
      <c r="I109" s="2" t="inlineStr">
        <is>
          <t>Limited</t>
        </is>
      </c>
      <c r="J109" s="2" t="inlineStr">
        <is>
          <t>L</t>
        </is>
      </c>
      <c r="K109" s="2" t="n"/>
    </row>
    <row r="110" ht="23.25" customHeight="1" s="16">
      <c r="A110" s="2" t="inlineStr">
        <is>
          <t>Central African Republic</t>
        </is>
      </c>
      <c r="B110" s="2" t="inlineStr">
        <is>
          <t>Caisse Nationale de Sécurité Sociale (CNSS CAR)</t>
        </is>
      </c>
      <c r="C110" s="2" t="inlineStr">
        <is>
          <t>Mandatory</t>
        </is>
      </c>
      <c r="D110" s="2" t="n">
        <v>1981</v>
      </c>
      <c r="E110" s="2" t="n">
        <v>50</v>
      </c>
      <c r="F110" s="2" t="n">
        <v>2022</v>
      </c>
      <c r="G110" s="2" t="inlineStr">
        <is>
          <t>XAF</t>
        </is>
      </c>
      <c r="H110" s="2" t="inlineStr">
        <is>
          <t>CIPRES</t>
        </is>
      </c>
      <c r="I110" s="2" t="inlineStr">
        <is>
          <t>Limited</t>
        </is>
      </c>
      <c r="J110" s="2" t="inlineStr">
        <is>
          <t>L</t>
        </is>
      </c>
      <c r="K110" s="2" t="inlineStr">
        <is>
          <t>Very small; conflict-affected.</t>
        </is>
      </c>
    </row>
    <row r="111" ht="23.25" customHeight="1" s="16">
      <c r="A111" s="2" t="inlineStr">
        <is>
          <t>Liberia</t>
        </is>
      </c>
      <c r="B111" s="2" t="inlineStr">
        <is>
          <t>National Social Security and Welfare Corporation (NASSCORP)</t>
        </is>
      </c>
      <c r="C111" s="2" t="inlineStr">
        <is>
          <t>Mandatory</t>
        </is>
      </c>
      <c r="D111" s="2" t="n">
        <v>1975</v>
      </c>
      <c r="E111" s="2" t="n">
        <v>100</v>
      </c>
      <c r="F111" s="2" t="n">
        <v>2023</v>
      </c>
      <c r="G111" s="2" t="inlineStr">
        <is>
          <t>USD/LRD</t>
        </is>
      </c>
      <c r="H111" s="2" t="inlineStr">
        <is>
          <t>Min. Labour</t>
        </is>
      </c>
      <c r="I111" s="2" t="inlineStr">
        <is>
          <t>Limited</t>
        </is>
      </c>
      <c r="J111" s="2" t="inlineStr">
        <is>
          <t>L</t>
        </is>
      </c>
      <c r="K111" s="2" t="n"/>
    </row>
    <row r="112" ht="15" customHeight="1" s="16">
      <c r="A112" s="2" t="inlineStr">
        <is>
          <t>Sierra Leone</t>
        </is>
      </c>
      <c r="B112" s="2" t="inlineStr">
        <is>
          <t>National Social Security and Insurance Trust (NASSIT)</t>
        </is>
      </c>
      <c r="C112" s="2" t="inlineStr">
        <is>
          <t>Mandatory</t>
        </is>
      </c>
      <c r="D112" s="2" t="n">
        <v>2001</v>
      </c>
      <c r="E112" s="2" t="n">
        <v>200</v>
      </c>
      <c r="F112" s="2" t="n">
        <v>2023</v>
      </c>
      <c r="G112" s="2" t="inlineStr">
        <is>
          <t>SLE</t>
        </is>
      </c>
      <c r="H112" s="2" t="inlineStr">
        <is>
          <t>Min. Labour</t>
        </is>
      </c>
      <c r="I112" s="2" t="inlineStr">
        <is>
          <t>Limited</t>
        </is>
      </c>
      <c r="J112" s="2" t="inlineStr">
        <is>
          <t>M</t>
        </is>
      </c>
      <c r="K112" s="2" t="n"/>
    </row>
    <row r="113" ht="15" customHeight="1" s="16">
      <c r="A113" s="2" t="inlineStr">
        <is>
          <t>The Gambia</t>
        </is>
      </c>
      <c r="B113" s="2" t="inlineStr">
        <is>
          <t>Social Security and Housing Finance Corporation (SSHFC)</t>
        </is>
      </c>
      <c r="C113" s="2" t="inlineStr">
        <is>
          <t>Mandatory + housing</t>
        </is>
      </c>
      <c r="D113" s="2" t="n">
        <v>1981</v>
      </c>
      <c r="E113" s="2" t="n">
        <v>150</v>
      </c>
      <c r="F113" s="2" t="n">
        <v>2023</v>
      </c>
      <c r="G113" s="2" t="inlineStr">
        <is>
          <t>GMD</t>
        </is>
      </c>
      <c r="H113" s="2" t="inlineStr">
        <is>
          <t>Min. Finance</t>
        </is>
      </c>
      <c r="I113" s="2" t="inlineStr">
        <is>
          <t>Yes</t>
        </is>
      </c>
      <c r="J113" s="2" t="inlineStr">
        <is>
          <t>M</t>
        </is>
      </c>
      <c r="K113" s="2" t="n"/>
    </row>
    <row r="114" ht="23.25" customHeight="1" s="16">
      <c r="A114" s="2" t="inlineStr">
        <is>
          <t>Cabo Verde</t>
        </is>
      </c>
      <c r="B114" s="2" t="inlineStr">
        <is>
          <t>Instituto Nacional de Previdência Social (INPS Cabo Verde)</t>
        </is>
      </c>
      <c r="C114" s="2" t="inlineStr">
        <is>
          <t>Mandatory</t>
        </is>
      </c>
      <c r="D114" s="2" t="n">
        <v>1991</v>
      </c>
      <c r="E114" s="2" t="n">
        <v>350</v>
      </c>
      <c r="F114" s="2" t="n">
        <v>2023</v>
      </c>
      <c r="G114" s="2" t="inlineStr">
        <is>
          <t>CVE</t>
        </is>
      </c>
      <c r="H114" s="2" t="inlineStr">
        <is>
          <t>Min. Finance</t>
        </is>
      </c>
      <c r="I114" s="2" t="inlineStr">
        <is>
          <t>Limited</t>
        </is>
      </c>
      <c r="J114" s="2" t="inlineStr">
        <is>
          <t>M</t>
        </is>
      </c>
      <c r="K114" s="2" t="n"/>
    </row>
    <row r="115" ht="15" customHeight="1" s="16">
      <c r="A115" s="2" t="inlineStr">
        <is>
          <t>Comoros</t>
        </is>
      </c>
      <c r="B115" s="2" t="inlineStr">
        <is>
          <t>Caisse Nationale de Solidarité et de Prévoyance Sociale</t>
        </is>
      </c>
      <c r="C115" s="2" t="inlineStr">
        <is>
          <t>Mandatory</t>
        </is>
      </c>
      <c r="D115" s="2" t="n">
        <v>2012</v>
      </c>
      <c r="E115" s="2" t="n">
        <v>30</v>
      </c>
      <c r="F115" s="2" t="n">
        <v>2022</v>
      </c>
      <c r="G115" s="2" t="inlineStr">
        <is>
          <t>KMF</t>
        </is>
      </c>
      <c r="H115" s="2" t="inlineStr">
        <is>
          <t>Min. Finance</t>
        </is>
      </c>
      <c r="I115" s="2" t="inlineStr">
        <is>
          <t>Limited</t>
        </is>
      </c>
      <c r="J115" s="2" t="inlineStr">
        <is>
          <t>L</t>
        </is>
      </c>
      <c r="K115" s="2" t="inlineStr">
        <is>
          <t>Very small.</t>
        </is>
      </c>
    </row>
    <row r="116" ht="15" customHeight="1" s="16">
      <c r="A116" s="2" t="inlineStr">
        <is>
          <t>Djibouti</t>
        </is>
      </c>
      <c r="B116" s="2" t="inlineStr">
        <is>
          <t>Caisse Nationale de Sécurité Sociale (CNSS Djibouti)</t>
        </is>
      </c>
      <c r="C116" s="2" t="inlineStr">
        <is>
          <t>Mandatory</t>
        </is>
      </c>
      <c r="D116" s="2" t="n">
        <v>1968</v>
      </c>
      <c r="E116" s="2" t="n">
        <v>250</v>
      </c>
      <c r="F116" s="2" t="n">
        <v>2023</v>
      </c>
      <c r="G116" s="2" t="inlineStr">
        <is>
          <t>DJF</t>
        </is>
      </c>
      <c r="H116" s="2" t="inlineStr">
        <is>
          <t>Min. Labour</t>
        </is>
      </c>
      <c r="I116" s="2" t="inlineStr">
        <is>
          <t>Limited</t>
        </is>
      </c>
      <c r="J116" s="2" t="inlineStr">
        <is>
          <t>M</t>
        </is>
      </c>
      <c r="K116" s="2" t="n"/>
    </row>
    <row r="117" ht="15" customHeight="1" s="16">
      <c r="A117" s="2" t="inlineStr">
        <is>
          <t>Eritrea</t>
        </is>
      </c>
      <c r="B117" s="2" t="inlineStr">
        <is>
          <t>Pension Fund of Eritrea</t>
        </is>
      </c>
      <c r="C117" s="2" t="inlineStr">
        <is>
          <t>Civil service</t>
        </is>
      </c>
      <c r="D117" s="2" t="inlineStr">
        <is>
          <t>various</t>
        </is>
      </c>
      <c r="E117" s="2" t="n">
        <v>100</v>
      </c>
      <c r="F117" s="2" t="inlineStr">
        <is>
          <t>approx</t>
        </is>
      </c>
      <c r="G117" s="2" t="inlineStr">
        <is>
          <t>ERN</t>
        </is>
      </c>
      <c r="H117" s="2" t="inlineStr">
        <is>
          <t>Min. Finance</t>
        </is>
      </c>
      <c r="I117" s="2" t="inlineStr">
        <is>
          <t>Very limited</t>
        </is>
      </c>
      <c r="J117" s="2" t="inlineStr">
        <is>
          <t>L</t>
        </is>
      </c>
      <c r="K117" s="2" t="inlineStr">
        <is>
          <t>Minimal disclosure.</t>
        </is>
      </c>
    </row>
    <row r="118" ht="15" customHeight="1" s="16">
      <c r="A118" s="2" t="inlineStr">
        <is>
          <t>Seychelles</t>
        </is>
      </c>
      <c r="B118" s="2" t="inlineStr">
        <is>
          <t>Seychelles Pension Fund (SPF)</t>
        </is>
      </c>
      <c r="C118" s="2" t="inlineStr">
        <is>
          <t>Mandatory</t>
        </is>
      </c>
      <c r="D118" s="2" t="n">
        <v>2005</v>
      </c>
      <c r="E118" s="2" t="n">
        <v>350</v>
      </c>
      <c r="F118" s="2" t="n">
        <v>2024</v>
      </c>
      <c r="G118" s="2" t="inlineStr">
        <is>
          <t>SCR</t>
        </is>
      </c>
      <c r="H118" s="2" t="inlineStr">
        <is>
          <t>FSA</t>
        </is>
      </c>
      <c r="I118" s="2" t="inlineStr">
        <is>
          <t>Yes</t>
        </is>
      </c>
      <c r="J118" s="2" t="inlineStr">
        <is>
          <t>M</t>
        </is>
      </c>
      <c r="K118" s="2" t="n"/>
    </row>
    <row r="119" ht="15" customHeight="1" s="16">
      <c r="A119" s="2" t="inlineStr">
        <is>
          <t>South Sudan</t>
        </is>
      </c>
      <c r="B119" s="2" t="inlineStr">
        <is>
          <t>National Pension Fund (proposed)</t>
        </is>
      </c>
      <c r="C119" s="2" t="inlineStr">
        <is>
          <t>Public</t>
        </is>
      </c>
      <c r="D119" s="2" t="inlineStr">
        <is>
          <t>TBD</t>
        </is>
      </c>
      <c r="E119" s="2" t="n">
        <v>0</v>
      </c>
      <c r="F119" s="2" t="inlineStr">
        <is>
          <t>n/a</t>
        </is>
      </c>
      <c r="G119" s="2" t="inlineStr">
        <is>
          <t>n/a</t>
        </is>
      </c>
      <c r="H119" s="2" t="inlineStr">
        <is>
          <t>Min. Labour</t>
        </is>
      </c>
      <c r="I119" s="2" t="inlineStr">
        <is>
          <t>n/a</t>
        </is>
      </c>
      <c r="J119" s="2" t="inlineStr">
        <is>
          <t>L</t>
        </is>
      </c>
      <c r="K119" s="2" t="inlineStr">
        <is>
          <t>Not operational.</t>
        </is>
      </c>
    </row>
    <row r="120" ht="15" customHeight="1" s="16">
      <c r="A120" s="2" t="inlineStr">
        <is>
          <t>Sudan</t>
        </is>
      </c>
      <c r="B120" s="2" t="inlineStr">
        <is>
          <t>National Social Insurance Fund (NSIF Sudan)</t>
        </is>
      </c>
      <c r="C120" s="2" t="inlineStr">
        <is>
          <t>Mandatory</t>
        </is>
      </c>
      <c r="D120" s="2" t="n">
        <v>1974</v>
      </c>
      <c r="E120" s="2" t="n">
        <v>500</v>
      </c>
      <c r="F120" s="2" t="n">
        <v>2023</v>
      </c>
      <c r="G120" s="2" t="inlineStr">
        <is>
          <t>SDG</t>
        </is>
      </c>
      <c r="H120" s="2" t="inlineStr">
        <is>
          <t>Min. Social Welfare</t>
        </is>
      </c>
      <c r="I120" s="2" t="inlineStr">
        <is>
          <t>Limited</t>
        </is>
      </c>
      <c r="J120" s="2" t="inlineStr">
        <is>
          <t>L</t>
        </is>
      </c>
      <c r="K120" s="2" t="inlineStr">
        <is>
          <t>Hyperinflation/conflict distort figures.</t>
        </is>
      </c>
    </row>
    <row r="121" ht="15" customHeight="1" s="16">
      <c r="A121" s="2" t="inlineStr">
        <is>
          <t>Somalia</t>
        </is>
      </c>
      <c r="B121" s="2" t="inlineStr">
        <is>
          <t>—</t>
        </is>
      </c>
      <c r="C121" s="2" t="inlineStr">
        <is>
          <t>n/a</t>
        </is>
      </c>
      <c r="D121" s="2" t="inlineStr">
        <is>
          <t>n/a</t>
        </is>
      </c>
      <c r="E121" s="2" t="n">
        <v>0</v>
      </c>
      <c r="F121" s="2" t="inlineStr">
        <is>
          <t>n/a</t>
        </is>
      </c>
      <c r="G121" s="2" t="inlineStr">
        <is>
          <t>n/a</t>
        </is>
      </c>
      <c r="H121" s="2" t="inlineStr">
        <is>
          <t>n/a</t>
        </is>
      </c>
      <c r="I121" s="2" t="inlineStr">
        <is>
          <t>n/a</t>
        </is>
      </c>
      <c r="J121" s="2" t="inlineStr">
        <is>
          <t>L</t>
        </is>
      </c>
      <c r="K121" s="2" t="inlineStr">
        <is>
          <t>No functioning national pension.</t>
        </is>
      </c>
    </row>
    <row r="122" ht="23.25" customHeight="1" s="16">
      <c r="A122" s="2" t="inlineStr">
        <is>
          <t>Burundi</t>
        </is>
      </c>
      <c r="B122" s="2" t="inlineStr">
        <is>
          <t>Office National des Pensions et Risques Professionnels (ONPR)</t>
        </is>
      </c>
      <c r="C122" s="2" t="inlineStr">
        <is>
          <t>Mandatory</t>
        </is>
      </c>
      <c r="D122" s="2" t="n">
        <v>2010</v>
      </c>
      <c r="E122" s="2" t="n">
        <v>80</v>
      </c>
      <c r="F122" s="2" t="n">
        <v>2023</v>
      </c>
      <c r="G122" s="2" t="inlineStr">
        <is>
          <t>BIF</t>
        </is>
      </c>
      <c r="H122" s="2" t="inlineStr">
        <is>
          <t>Min. Civil Service</t>
        </is>
      </c>
      <c r="I122" s="2" t="inlineStr">
        <is>
          <t>Limited</t>
        </is>
      </c>
      <c r="J122" s="2" t="inlineStr">
        <is>
          <t>L</t>
        </is>
      </c>
      <c r="K122" s="2" t="n"/>
    </row>
    <row r="123" ht="15" customHeight="1" s="16">
      <c r="A123" s="2" t="inlineStr">
        <is>
          <t>Mauritania</t>
        </is>
      </c>
      <c r="B123" s="2" t="inlineStr">
        <is>
          <t>Caisse Nationale de Sécurité Sociale (CNSS Mauritania)</t>
        </is>
      </c>
      <c r="C123" s="2" t="inlineStr">
        <is>
          <t>Mandatory</t>
        </is>
      </c>
      <c r="D123" s="2" t="n">
        <v>1967</v>
      </c>
      <c r="E123" s="2" t="n">
        <v>250</v>
      </c>
      <c r="F123" s="2" t="n">
        <v>2023</v>
      </c>
      <c r="G123" s="2" t="inlineStr">
        <is>
          <t>MRU</t>
        </is>
      </c>
      <c r="H123" s="2" t="inlineStr">
        <is>
          <t>Min. Civil Service</t>
        </is>
      </c>
      <c r="I123" s="2" t="inlineStr">
        <is>
          <t>Limited</t>
        </is>
      </c>
      <c r="J123" s="2" t="inlineStr">
        <is>
          <t>L</t>
        </is>
      </c>
      <c r="K123" s="2" t="n"/>
    </row>
    <row r="124" ht="15" customHeight="1" s="16">
      <c r="A124" s="2" t="inlineStr">
        <is>
          <t>Chad</t>
        </is>
      </c>
      <c r="B124" s="2" t="inlineStr">
        <is>
          <t>Caisse Nationale de Prévoyance Sociale (CNPS Chad)</t>
        </is>
      </c>
      <c r="C124" s="2" t="inlineStr">
        <is>
          <t>Mandatory</t>
        </is>
      </c>
      <c r="D124" s="2" t="n">
        <v>1977</v>
      </c>
      <c r="E124" s="2" t="n">
        <v>150</v>
      </c>
      <c r="F124" s="2" t="n">
        <v>2023</v>
      </c>
      <c r="G124" s="2" t="inlineStr">
        <is>
          <t>XAF</t>
        </is>
      </c>
      <c r="H124" s="2" t="inlineStr">
        <is>
          <t>CIPRES</t>
        </is>
      </c>
      <c r="I124" s="2" t="inlineStr">
        <is>
          <t>Limited</t>
        </is>
      </c>
      <c r="J124" s="2" t="inlineStr">
        <is>
          <t>L</t>
        </is>
      </c>
      <c r="K124" s="2" t="n"/>
    </row>
    <row r="125" ht="23.25" customHeight="1" s="16">
      <c r="A125" s="2" t="inlineStr">
        <is>
          <t>São Tomé and Príncipe</t>
        </is>
      </c>
      <c r="B125" s="2" t="inlineStr">
        <is>
          <t>Instituto Nacional de Segurança Social (INSS STP)</t>
        </is>
      </c>
      <c r="C125" s="2" t="inlineStr">
        <is>
          <t>Mandatory</t>
        </is>
      </c>
      <c r="D125" s="2" t="n">
        <v>1979</v>
      </c>
      <c r="E125" s="2" t="n">
        <v>30</v>
      </c>
      <c r="F125" s="2" t="n">
        <v>2022</v>
      </c>
      <c r="G125" s="2" t="inlineStr">
        <is>
          <t>STN</t>
        </is>
      </c>
      <c r="H125" s="2" t="inlineStr">
        <is>
          <t>Min. Finance</t>
        </is>
      </c>
      <c r="I125" s="2" t="inlineStr">
        <is>
          <t>Limited</t>
        </is>
      </c>
      <c r="J125" s="2" t="inlineStr">
        <is>
          <t>L</t>
        </is>
      </c>
      <c r="K125" s="2" t="inlineStr">
        <is>
          <t>Very small.</t>
        </is>
      </c>
    </row>
    <row r="126" ht="15" customHeight="1" s="16">
      <c r="A126" s="2" t="inlineStr">
        <is>
          <t>Equatorial Guinea</t>
        </is>
      </c>
      <c r="B126" s="2" t="inlineStr">
        <is>
          <t>Instituto de Seguridad Social (INSESO)</t>
        </is>
      </c>
      <c r="C126" s="2" t="inlineStr">
        <is>
          <t>Mandatory</t>
        </is>
      </c>
      <c r="D126" s="2" t="n">
        <v>1990</v>
      </c>
      <c r="E126" s="2" t="n">
        <v>200</v>
      </c>
      <c r="F126" s="2" t="n">
        <v>2023</v>
      </c>
      <c r="G126" s="2" t="inlineStr">
        <is>
          <t>XAF</t>
        </is>
      </c>
      <c r="H126" s="2" t="inlineStr">
        <is>
          <t>Min. Labour</t>
        </is>
      </c>
      <c r="I126" s="2" t="inlineStr">
        <is>
          <t>Limited</t>
        </is>
      </c>
      <c r="J126" s="2" t="inlineStr">
        <is>
          <t>L</t>
        </is>
      </c>
      <c r="K126" s="2" t="inlineStr">
        <is>
          <t>Limited disclosure.</t>
        </is>
      </c>
    </row>
    <row r="127" ht="15" customHeight="1" s="16">
      <c r="A127" s="2" t="inlineStr">
        <is>
          <t>South Africa</t>
        </is>
      </c>
      <c r="B127" s="2" t="inlineStr">
        <is>
          <t>Metal Industries Provident Fund (MIPF, NUMSA-aligned)</t>
        </is>
      </c>
      <c r="C127" s="2" t="inlineStr">
        <is>
          <t>Multi-employer (metal industry)</t>
        </is>
      </c>
      <c r="D127" s="2" t="n">
        <v>1984</v>
      </c>
      <c r="E127" s="2" t="n">
        <v>2500</v>
      </c>
      <c r="F127" s="2" t="n">
        <v>2023</v>
      </c>
      <c r="G127" s="2" t="inlineStr">
        <is>
          <t>ZAR</t>
        </is>
      </c>
      <c r="H127" s="2" t="inlineStr">
        <is>
          <t>FSCA</t>
        </is>
      </c>
      <c r="I127" s="2" t="inlineStr">
        <is>
          <t>Yes</t>
        </is>
      </c>
      <c r="J127" s="2" t="inlineStr">
        <is>
          <t>M</t>
        </is>
      </c>
      <c r="K127" s="2" t="inlineStr">
        <is>
          <t>Large industry fund; uses alts mandate managers.</t>
        </is>
      </c>
    </row>
    <row r="128" ht="15" customHeight="1" s="16">
      <c r="A128" s="2" t="inlineStr">
        <is>
          <t>South Africa</t>
        </is>
      </c>
      <c r="B128" s="2" t="inlineStr">
        <is>
          <t>Engineering Industries Pension Fund (EIPF)</t>
        </is>
      </c>
      <c r="C128" s="2" t="inlineStr">
        <is>
          <t>Multi-employer (engineering)</t>
        </is>
      </c>
      <c r="D128" s="2" t="n">
        <v>1956</v>
      </c>
      <c r="E128" s="2" t="n">
        <v>1500</v>
      </c>
      <c r="F128" s="2" t="n">
        <v>2023</v>
      </c>
      <c r="G128" s="2" t="inlineStr">
        <is>
          <t>ZAR</t>
        </is>
      </c>
      <c r="H128" s="2" t="inlineStr">
        <is>
          <t>FSCA</t>
        </is>
      </c>
      <c r="I128" s="2" t="inlineStr">
        <is>
          <t>Yes</t>
        </is>
      </c>
      <c r="J128" s="2" t="inlineStr">
        <is>
          <t>M</t>
        </is>
      </c>
      <c r="K128" s="2" t="inlineStr">
        <is>
          <t>Industry scheme under MEIBC.</t>
        </is>
      </c>
    </row>
    <row r="129" ht="15" customHeight="1" s="16">
      <c r="A129" s="2" t="inlineStr">
        <is>
          <t>South Africa</t>
        </is>
      </c>
      <c r="B129" s="2" t="inlineStr">
        <is>
          <t>Chemical Industries National Provident Fund (CINPF)</t>
        </is>
      </c>
      <c r="C129" s="2" t="inlineStr">
        <is>
          <t>Multi-employer (chemicals)</t>
        </is>
      </c>
      <c r="D129" s="2" t="n">
        <v>1989</v>
      </c>
      <c r="E129" s="2" t="n">
        <v>1500</v>
      </c>
      <c r="F129" s="2" t="n">
        <v>2023</v>
      </c>
      <c r="G129" s="2" t="inlineStr">
        <is>
          <t>ZAR</t>
        </is>
      </c>
      <c r="H129" s="2" t="inlineStr">
        <is>
          <t>FSCA</t>
        </is>
      </c>
      <c r="I129" s="2" t="inlineStr">
        <is>
          <t>Yes</t>
        </is>
      </c>
      <c r="J129" s="2" t="inlineStr">
        <is>
          <t>M</t>
        </is>
      </c>
      <c r="K129" s="2" t="inlineStr">
        <is>
          <t>Industry scheme.</t>
        </is>
      </c>
    </row>
    <row r="130" ht="23.25" customHeight="1" s="16">
      <c r="A130" s="2" t="inlineStr">
        <is>
          <t>South Africa</t>
        </is>
      </c>
      <c r="B130" s="2" t="inlineStr">
        <is>
          <t>South African Clothing and Textile Workers' Union (SACTWU) Pension Funds</t>
        </is>
      </c>
      <c r="C130" s="2" t="inlineStr">
        <is>
          <t>Multi-employer (clothing/textile)</t>
        </is>
      </c>
      <c r="D130" s="2" t="inlineStr">
        <is>
          <t>various</t>
        </is>
      </c>
      <c r="E130" s="2" t="n">
        <v>800</v>
      </c>
      <c r="F130" s="2" t="n">
        <v>2023</v>
      </c>
      <c r="G130" s="2" t="inlineStr">
        <is>
          <t>ZAR</t>
        </is>
      </c>
      <c r="H130" s="2" t="inlineStr">
        <is>
          <t>FSCA</t>
        </is>
      </c>
      <c r="I130" s="2" t="inlineStr">
        <is>
          <t>Yes</t>
        </is>
      </c>
      <c r="J130" s="2" t="inlineStr">
        <is>
          <t>L</t>
        </is>
      </c>
      <c r="K130" s="2" t="inlineStr">
        <is>
          <t>AUM TBC; multiple related funds under SACTWU.</t>
        </is>
      </c>
    </row>
    <row r="131" ht="15" customHeight="1" s="16">
      <c r="A131" s="2" t="inlineStr">
        <is>
          <t>South Africa</t>
        </is>
      </c>
      <c r="B131" s="2" t="inlineStr">
        <is>
          <t>Furniture Bargaining Council Pension Fund</t>
        </is>
      </c>
      <c r="C131" s="2" t="inlineStr">
        <is>
          <t>Multi-employer</t>
        </is>
      </c>
      <c r="D131" s="2" t="n">
        <v>1959</v>
      </c>
      <c r="E131" s="2" t="n">
        <v>600</v>
      </c>
      <c r="F131" s="2" t="n">
        <v>2023</v>
      </c>
      <c r="G131" s="2" t="inlineStr">
        <is>
          <t>ZAR</t>
        </is>
      </c>
      <c r="H131" s="2" t="inlineStr">
        <is>
          <t>FSCA</t>
        </is>
      </c>
      <c r="I131" s="2" t="inlineStr">
        <is>
          <t>Yes</t>
        </is>
      </c>
      <c r="J131" s="2" t="inlineStr">
        <is>
          <t>L</t>
        </is>
      </c>
      <c r="K131" s="2" t="inlineStr">
        <is>
          <t>Industry scheme; AUM TBC.</t>
        </is>
      </c>
    </row>
    <row r="132" ht="15" customHeight="1" s="16">
      <c r="A132" s="2" t="inlineStr">
        <is>
          <t>South Africa</t>
        </is>
      </c>
      <c r="B132" s="2" t="inlineStr">
        <is>
          <t>South African Local Authorities Pension Fund (SALA)</t>
        </is>
      </c>
      <c r="C132" s="2" t="inlineStr">
        <is>
          <t>Public sector (local gov't)</t>
        </is>
      </c>
      <c r="D132" s="2" t="n">
        <v>1944</v>
      </c>
      <c r="E132" s="2" t="n">
        <v>700</v>
      </c>
      <c r="F132" s="2" t="n">
        <v>2023</v>
      </c>
      <c r="G132" s="2" t="inlineStr">
        <is>
          <t>ZAR</t>
        </is>
      </c>
      <c r="H132" s="2" t="inlineStr">
        <is>
          <t>FSCA</t>
        </is>
      </c>
      <c r="I132" s="2" t="inlineStr">
        <is>
          <t>Yes</t>
        </is>
      </c>
      <c r="J132" s="2" t="inlineStr">
        <is>
          <t>M</t>
        </is>
      </c>
      <c r="K132" s="2" t="inlineStr">
        <is>
          <t>Local government scheme.</t>
        </is>
      </c>
    </row>
    <row r="133" ht="23.25" customHeight="1" s="16">
      <c r="A133" s="2" t="inlineStr">
        <is>
          <t>South Africa</t>
        </is>
      </c>
      <c r="B133" s="2" t="inlineStr">
        <is>
          <t>Cape Joint Pension Fund</t>
        </is>
      </c>
      <c r="C133" s="2" t="inlineStr">
        <is>
          <t>Public sector (Cape municipalities)</t>
        </is>
      </c>
      <c r="D133" s="2" t="n">
        <v>1948</v>
      </c>
      <c r="E133" s="2" t="n">
        <v>600</v>
      </c>
      <c r="F133" s="2" t="n">
        <v>2023</v>
      </c>
      <c r="G133" s="2" t="inlineStr">
        <is>
          <t>ZAR</t>
        </is>
      </c>
      <c r="H133" s="2" t="inlineStr">
        <is>
          <t>FSCA</t>
        </is>
      </c>
      <c r="I133" s="2" t="inlineStr">
        <is>
          <t>Yes</t>
        </is>
      </c>
      <c r="J133" s="2" t="inlineStr">
        <is>
          <t>M</t>
        </is>
      </c>
      <c r="K133" s="2" t="inlineStr">
        <is>
          <t>Western Cape municipal scheme.</t>
        </is>
      </c>
    </row>
    <row r="134" ht="15" customHeight="1" s="16">
      <c r="A134" s="2" t="inlineStr">
        <is>
          <t>South Africa</t>
        </is>
      </c>
      <c r="B134" s="2" t="inlineStr">
        <is>
          <t>KwaZulu-Natal Joint Municipal Pension Fund (KZN JMPF)</t>
        </is>
      </c>
      <c r="C134" s="2" t="inlineStr">
        <is>
          <t>Public sector (KZN municipalities)</t>
        </is>
      </c>
      <c r="D134" s="2" t="n">
        <v>1944</v>
      </c>
      <c r="E134" s="2" t="n">
        <v>500</v>
      </c>
      <c r="F134" s="2" t="n">
        <v>2023</v>
      </c>
      <c r="G134" s="2" t="inlineStr">
        <is>
          <t>ZAR</t>
        </is>
      </c>
      <c r="H134" s="2" t="inlineStr">
        <is>
          <t>FSCA</t>
        </is>
      </c>
      <c r="I134" s="2" t="inlineStr">
        <is>
          <t>Yes</t>
        </is>
      </c>
      <c r="J134" s="2" t="inlineStr">
        <is>
          <t>L</t>
        </is>
      </c>
      <c r="K134" s="2" t="inlineStr">
        <is>
          <t>Provincial municipal scheme; AUM TBC.</t>
        </is>
      </c>
    </row>
    <row r="135" ht="15" customHeight="1" s="16">
      <c r="A135" s="2" t="inlineStr">
        <is>
          <t>South Africa</t>
        </is>
      </c>
      <c r="B135" s="2" t="inlineStr">
        <is>
          <t>Free State Municipal Pension Fund</t>
        </is>
      </c>
      <c r="C135" s="2" t="inlineStr">
        <is>
          <t>Public sector (local gov't)</t>
        </is>
      </c>
      <c r="D135" s="2" t="inlineStr">
        <is>
          <t>various</t>
        </is>
      </c>
      <c r="E135" s="2" t="n">
        <v>300</v>
      </c>
      <c r="F135" s="2" t="n">
        <v>2023</v>
      </c>
      <c r="G135" s="2" t="inlineStr">
        <is>
          <t>ZAR</t>
        </is>
      </c>
      <c r="H135" s="2" t="inlineStr">
        <is>
          <t>FSCA</t>
        </is>
      </c>
      <c r="I135" s="2" t="inlineStr">
        <is>
          <t>Yes</t>
        </is>
      </c>
      <c r="J135" s="2" t="inlineStr">
        <is>
          <t>L</t>
        </is>
      </c>
      <c r="K135" s="2" t="inlineStr">
        <is>
          <t>AUM TBC.</t>
        </is>
      </c>
    </row>
    <row r="136" ht="15" customHeight="1" s="16">
      <c r="A136" s="2" t="inlineStr">
        <is>
          <t>South Africa</t>
        </is>
      </c>
      <c r="B136" s="2" t="inlineStr">
        <is>
          <t>Momentum FundsAtWork Umbrella</t>
        </is>
      </c>
      <c r="C136" s="2" t="inlineStr">
        <is>
          <t>Umbrella DC</t>
        </is>
      </c>
      <c r="D136" s="2" t="n">
        <v>2005</v>
      </c>
      <c r="E136" s="2" t="n">
        <v>4500</v>
      </c>
      <c r="F136" s="2" t="n">
        <v>2024</v>
      </c>
      <c r="G136" s="2" t="inlineStr">
        <is>
          <t>ZAR</t>
        </is>
      </c>
      <c r="H136" s="2" t="inlineStr">
        <is>
          <t>FSCA</t>
        </is>
      </c>
      <c r="I136" s="2" t="inlineStr">
        <is>
          <t>Yes</t>
        </is>
      </c>
      <c r="J136" s="2" t="inlineStr">
        <is>
          <t>M</t>
        </is>
      </c>
      <c r="K136" s="2" t="inlineStr">
        <is>
          <t>Third-largest umbrella in SA after Sanlam and Old Mutual.</t>
        </is>
      </c>
    </row>
    <row r="137" ht="15" customHeight="1" s="16">
      <c r="A137" s="2" t="inlineStr">
        <is>
          <t>South Africa</t>
        </is>
      </c>
      <c r="B137" s="2" t="inlineStr">
        <is>
          <t>Liberty Corporate Umbrella</t>
        </is>
      </c>
      <c r="C137" s="2" t="inlineStr">
        <is>
          <t>Umbrella DC</t>
        </is>
      </c>
      <c r="D137" s="2" t="n">
        <v>2007</v>
      </c>
      <c r="E137" s="2" t="n">
        <v>3500</v>
      </c>
      <c r="F137" s="2" t="n">
        <v>2024</v>
      </c>
      <c r="G137" s="2" t="inlineStr">
        <is>
          <t>ZAR</t>
        </is>
      </c>
      <c r="H137" s="2" t="inlineStr">
        <is>
          <t>FSCA</t>
        </is>
      </c>
      <c r="I137" s="2" t="inlineStr">
        <is>
          <t>Yes</t>
        </is>
      </c>
      <c r="J137" s="2" t="inlineStr">
        <is>
          <t>M</t>
        </is>
      </c>
      <c r="K137" s="2" t="inlineStr">
        <is>
          <t>Standard Bank-affiliated umbrella.</t>
        </is>
      </c>
    </row>
    <row r="138" ht="15" customHeight="1" s="16">
      <c r="A138" s="2" t="inlineStr">
        <is>
          <t>South Africa</t>
        </is>
      </c>
      <c r="B138" s="2" t="inlineStr">
        <is>
          <t>Discovery Life Umbrella Pension Fund</t>
        </is>
      </c>
      <c r="C138" s="2" t="inlineStr">
        <is>
          <t>Umbrella DC</t>
        </is>
      </c>
      <c r="D138" s="2" t="n">
        <v>2017</v>
      </c>
      <c r="E138" s="2" t="n">
        <v>1500</v>
      </c>
      <c r="F138" s="2" t="n">
        <v>2024</v>
      </c>
      <c r="G138" s="2" t="inlineStr">
        <is>
          <t>ZAR</t>
        </is>
      </c>
      <c r="H138" s="2" t="inlineStr">
        <is>
          <t>FSCA</t>
        </is>
      </c>
      <c r="I138" s="2" t="inlineStr">
        <is>
          <t>Yes</t>
        </is>
      </c>
      <c r="J138" s="2" t="inlineStr">
        <is>
          <t>L</t>
        </is>
      </c>
      <c r="K138" s="2" t="inlineStr">
        <is>
          <t>Newer umbrella; AUM approximate.</t>
        </is>
      </c>
    </row>
    <row r="139" ht="15" customHeight="1" s="16">
      <c r="A139" s="2" t="inlineStr">
        <is>
          <t>South Africa</t>
        </is>
      </c>
      <c r="B139" s="2" t="inlineStr">
        <is>
          <t>Telkom Pension Fund (legacy DB)</t>
        </is>
      </c>
      <c r="C139" s="2" t="inlineStr">
        <is>
          <t>Corporate (parastatal)</t>
        </is>
      </c>
      <c r="D139" s="2" t="n">
        <v>1992</v>
      </c>
      <c r="E139" s="2" t="n">
        <v>1000</v>
      </c>
      <c r="F139" s="2" t="n">
        <v>2023</v>
      </c>
      <c r="G139" s="2" t="inlineStr">
        <is>
          <t>ZAR</t>
        </is>
      </c>
      <c r="H139" s="2" t="inlineStr">
        <is>
          <t>FSCA</t>
        </is>
      </c>
      <c r="I139" s="2" t="inlineStr">
        <is>
          <t>Yes</t>
        </is>
      </c>
      <c r="J139" s="2" t="inlineStr">
        <is>
          <t>L</t>
        </is>
      </c>
      <c r="K139" s="2" t="inlineStr">
        <is>
          <t>Legacy DB scheme separate from Telkom Retirement Fund.</t>
        </is>
      </c>
    </row>
    <row r="140" ht="23.25" customHeight="1" s="16">
      <c r="A140" s="2" t="inlineStr">
        <is>
          <t>South Africa</t>
        </is>
      </c>
      <c r="B140" s="2" t="inlineStr">
        <is>
          <t>Post Office Pension Fund</t>
        </is>
      </c>
      <c r="C140" s="2" t="inlineStr">
        <is>
          <t>Parastatal</t>
        </is>
      </c>
      <c r="D140" s="2" t="inlineStr">
        <is>
          <t>various</t>
        </is>
      </c>
      <c r="E140" s="2" t="n">
        <v>700</v>
      </c>
      <c r="F140" s="2" t="n">
        <v>2023</v>
      </c>
      <c r="G140" s="2" t="inlineStr">
        <is>
          <t>ZAR</t>
        </is>
      </c>
      <c r="H140" s="2" t="inlineStr">
        <is>
          <t>FSCA</t>
        </is>
      </c>
      <c r="I140" s="2" t="inlineStr">
        <is>
          <t>Yes</t>
        </is>
      </c>
      <c r="J140" s="2" t="inlineStr">
        <is>
          <t>L</t>
        </is>
      </c>
      <c r="K140" s="2" t="inlineStr">
        <is>
          <t>SA Post Office scheme; AUM TBC and complicated by Post Office distress.</t>
        </is>
      </c>
    </row>
    <row r="141" ht="15" customHeight="1" s="16">
      <c r="A141" s="2" t="inlineStr">
        <is>
          <t>South Africa</t>
        </is>
      </c>
      <c r="B141" s="2" t="inlineStr">
        <is>
          <t>Tongaat Hulett Pension Fund</t>
        </is>
      </c>
      <c r="C141" s="2" t="inlineStr">
        <is>
          <t>Corporate (in workout)</t>
        </is>
      </c>
      <c r="D141" s="2" t="inlineStr">
        <is>
          <t>—</t>
        </is>
      </c>
      <c r="E141" s="2" t="n">
        <v>400</v>
      </c>
      <c r="F141" s="2" t="n">
        <v>2023</v>
      </c>
      <c r="G141" s="2" t="inlineStr">
        <is>
          <t>ZAR</t>
        </is>
      </c>
      <c r="H141" s="2" t="inlineStr">
        <is>
          <t>FSCA</t>
        </is>
      </c>
      <c r="I141" s="2" t="inlineStr">
        <is>
          <t>Yes</t>
        </is>
      </c>
      <c r="J141" s="2" t="inlineStr">
        <is>
          <t>L</t>
        </is>
      </c>
      <c r="K141" s="2" t="inlineStr">
        <is>
          <t>Subject to ongoing business rescue.</t>
        </is>
      </c>
    </row>
    <row r="142" ht="15" customHeight="1" s="16">
      <c r="A142" s="2" t="inlineStr">
        <is>
          <t>Kenya</t>
        </is>
      </c>
      <c r="B142" s="2" t="inlineStr">
        <is>
          <t>KenGen Staff Retirement Benefits Scheme</t>
        </is>
      </c>
      <c r="C142" s="2" t="inlineStr">
        <is>
          <t>Occupational (parastatal)</t>
        </is>
      </c>
      <c r="D142" s="2" t="n">
        <v>1988</v>
      </c>
      <c r="E142" s="2" t="n">
        <v>250</v>
      </c>
      <c r="F142" s="2" t="n">
        <v>2023</v>
      </c>
      <c r="G142" s="2" t="inlineStr">
        <is>
          <t>KES</t>
        </is>
      </c>
      <c r="H142" s="2" t="inlineStr">
        <is>
          <t>RBA</t>
        </is>
      </c>
      <c r="I142" s="2" t="inlineStr">
        <is>
          <t>Yes</t>
        </is>
      </c>
      <c r="J142" s="2" t="inlineStr">
        <is>
          <t>M</t>
        </is>
      </c>
      <c r="K142" s="2" t="inlineStr">
        <is>
          <t>Power-generation parastatal scheme.</t>
        </is>
      </c>
    </row>
    <row r="143" ht="15" customHeight="1" s="16">
      <c r="A143" s="2" t="inlineStr">
        <is>
          <t>Kenya</t>
        </is>
      </c>
      <c r="B143" s="2" t="inlineStr">
        <is>
          <t>Kenya Pipeline Company Staff RBS</t>
        </is>
      </c>
      <c r="C143" s="2" t="inlineStr">
        <is>
          <t>Occupational (parastatal)</t>
        </is>
      </c>
      <c r="D143" s="2" t="inlineStr">
        <is>
          <t>various</t>
        </is>
      </c>
      <c r="E143" s="2" t="n">
        <v>200</v>
      </c>
      <c r="F143" s="2" t="n">
        <v>2023</v>
      </c>
      <c r="G143" s="2" t="inlineStr">
        <is>
          <t>KES</t>
        </is>
      </c>
      <c r="H143" s="2" t="inlineStr">
        <is>
          <t>RBA</t>
        </is>
      </c>
      <c r="I143" s="2" t="inlineStr">
        <is>
          <t>Yes</t>
        </is>
      </c>
      <c r="J143" s="2" t="inlineStr">
        <is>
          <t>M</t>
        </is>
      </c>
      <c r="K143" s="2" t="inlineStr">
        <is>
          <t>Parastatal.</t>
        </is>
      </c>
    </row>
    <row r="144" ht="15" customHeight="1" s="16">
      <c r="A144" s="2" t="inlineStr">
        <is>
          <t>Kenya</t>
        </is>
      </c>
      <c r="B144" s="2" t="inlineStr">
        <is>
          <t>Kenya Ports Authority Pension Scheme</t>
        </is>
      </c>
      <c r="C144" s="2" t="inlineStr">
        <is>
          <t>Occupational (parastatal)</t>
        </is>
      </c>
      <c r="D144" s="2" t="inlineStr">
        <is>
          <t>various</t>
        </is>
      </c>
      <c r="E144" s="2" t="n">
        <v>250</v>
      </c>
      <c r="F144" s="2" t="n">
        <v>2023</v>
      </c>
      <c r="G144" s="2" t="inlineStr">
        <is>
          <t>KES</t>
        </is>
      </c>
      <c r="H144" s="2" t="inlineStr">
        <is>
          <t>RBA</t>
        </is>
      </c>
      <c r="I144" s="2" t="inlineStr">
        <is>
          <t>Yes</t>
        </is>
      </c>
      <c r="J144" s="2" t="inlineStr">
        <is>
          <t>M</t>
        </is>
      </c>
      <c r="K144" s="2" t="inlineStr">
        <is>
          <t>Port-authority scheme.</t>
        </is>
      </c>
    </row>
    <row r="145" ht="15" customHeight="1" s="16">
      <c r="A145" s="2" t="inlineStr">
        <is>
          <t>Kenya</t>
        </is>
      </c>
      <c r="B145" s="2" t="inlineStr">
        <is>
          <t>Kenya Airports Authority Staff RBS</t>
        </is>
      </c>
      <c r="C145" s="2" t="inlineStr">
        <is>
          <t>Occupational (parastatal)</t>
        </is>
      </c>
      <c r="D145" s="2" t="inlineStr">
        <is>
          <t>various</t>
        </is>
      </c>
      <c r="E145" s="2" t="n">
        <v>150</v>
      </c>
      <c r="F145" s="2" t="n">
        <v>2023</v>
      </c>
      <c r="G145" s="2" t="inlineStr">
        <is>
          <t>KES</t>
        </is>
      </c>
      <c r="H145" s="2" t="inlineStr">
        <is>
          <t>RBA</t>
        </is>
      </c>
      <c r="I145" s="2" t="inlineStr">
        <is>
          <t>Yes</t>
        </is>
      </c>
      <c r="J145" s="2" t="inlineStr">
        <is>
          <t>L</t>
        </is>
      </c>
      <c r="K145" s="2" t="inlineStr">
        <is>
          <t>AUM TBC.</t>
        </is>
      </c>
    </row>
    <row r="146" ht="15" customHeight="1" s="16">
      <c r="A146" s="2" t="inlineStr">
        <is>
          <t>Kenya</t>
        </is>
      </c>
      <c r="B146" s="2" t="inlineStr">
        <is>
          <t>University of Nairobi Pension Scheme</t>
        </is>
      </c>
      <c r="C146" s="2" t="inlineStr">
        <is>
          <t>Occupational (academic)</t>
        </is>
      </c>
      <c r="D146" s="2" t="inlineStr">
        <is>
          <t>various</t>
        </is>
      </c>
      <c r="E146" s="2" t="n">
        <v>200</v>
      </c>
      <c r="F146" s="2" t="n">
        <v>2023</v>
      </c>
      <c r="G146" s="2" t="inlineStr">
        <is>
          <t>KES</t>
        </is>
      </c>
      <c r="H146" s="2" t="inlineStr">
        <is>
          <t>RBA</t>
        </is>
      </c>
      <c r="I146" s="2" t="inlineStr">
        <is>
          <t>Yes</t>
        </is>
      </c>
      <c r="J146" s="2" t="inlineStr">
        <is>
          <t>L</t>
        </is>
      </c>
      <c r="K146" s="2" t="inlineStr">
        <is>
          <t>AUM TBC.</t>
        </is>
      </c>
    </row>
    <row r="147" ht="15" customHeight="1" s="16">
      <c r="A147" s="2" t="inlineStr">
        <is>
          <t>Kenya</t>
        </is>
      </c>
      <c r="B147" s="2" t="inlineStr">
        <is>
          <t>East African Breweries Limited (EABL) Staff RBS</t>
        </is>
      </c>
      <c r="C147" s="2" t="inlineStr">
        <is>
          <t>Corporate</t>
        </is>
      </c>
      <c r="D147" s="2" t="inlineStr">
        <is>
          <t>various</t>
        </is>
      </c>
      <c r="E147" s="2" t="n">
        <v>150</v>
      </c>
      <c r="F147" s="2" t="n">
        <v>2023</v>
      </c>
      <c r="G147" s="2" t="inlineStr">
        <is>
          <t>KES</t>
        </is>
      </c>
      <c r="H147" s="2" t="inlineStr">
        <is>
          <t>RBA</t>
        </is>
      </c>
      <c r="I147" s="2" t="inlineStr">
        <is>
          <t>Yes</t>
        </is>
      </c>
      <c r="J147" s="2" t="inlineStr">
        <is>
          <t>L</t>
        </is>
      </c>
      <c r="K147" s="2" t="inlineStr">
        <is>
          <t>Top corporate scheme; AUM TBC.</t>
        </is>
      </c>
    </row>
    <row r="148" ht="15" customHeight="1" s="16">
      <c r="A148" s="2" t="inlineStr">
        <is>
          <t>Kenya</t>
        </is>
      </c>
      <c r="B148" s="2" t="inlineStr">
        <is>
          <t>KCB Group Staff Pension Fund</t>
        </is>
      </c>
      <c r="C148" s="2" t="inlineStr">
        <is>
          <t>Corporate (banking)</t>
        </is>
      </c>
      <c r="D148" s="2" t="inlineStr">
        <is>
          <t>various</t>
        </is>
      </c>
      <c r="E148" s="2" t="n">
        <v>200</v>
      </c>
      <c r="F148" s="2" t="n">
        <v>2023</v>
      </c>
      <c r="G148" s="2" t="inlineStr">
        <is>
          <t>KES</t>
        </is>
      </c>
      <c r="H148" s="2" t="inlineStr">
        <is>
          <t>RBA</t>
        </is>
      </c>
      <c r="I148" s="2" t="inlineStr">
        <is>
          <t>Yes</t>
        </is>
      </c>
      <c r="J148" s="2" t="inlineStr">
        <is>
          <t>L</t>
        </is>
      </c>
      <c r="K148" s="2" t="inlineStr">
        <is>
          <t>Top corporate scheme; AUM TBC.</t>
        </is>
      </c>
    </row>
    <row r="149" ht="15" customHeight="1" s="16">
      <c r="A149" s="2" t="inlineStr">
        <is>
          <t>Kenya</t>
        </is>
      </c>
      <c r="B149" s="2" t="inlineStr">
        <is>
          <t>Co-operative Bank of Kenya Staff RBS</t>
        </is>
      </c>
      <c r="C149" s="2" t="inlineStr">
        <is>
          <t>Corporate (banking)</t>
        </is>
      </c>
      <c r="D149" s="2" t="inlineStr">
        <is>
          <t>various</t>
        </is>
      </c>
      <c r="E149" s="2" t="n">
        <v>150</v>
      </c>
      <c r="F149" s="2" t="n">
        <v>2023</v>
      </c>
      <c r="G149" s="2" t="inlineStr">
        <is>
          <t>KES</t>
        </is>
      </c>
      <c r="H149" s="2" t="inlineStr">
        <is>
          <t>RBA</t>
        </is>
      </c>
      <c r="I149" s="2" t="inlineStr">
        <is>
          <t>Yes</t>
        </is>
      </c>
      <c r="J149" s="2" t="inlineStr">
        <is>
          <t>L</t>
        </is>
      </c>
      <c r="K149" s="2" t="inlineStr">
        <is>
          <t>AUM TBC.</t>
        </is>
      </c>
    </row>
    <row r="150" ht="15" customHeight="1" s="16">
      <c r="A150" s="2" t="inlineStr">
        <is>
          <t>Kenya</t>
        </is>
      </c>
      <c r="B150" s="2" t="inlineStr">
        <is>
          <t>Safaricom Staff Pension Scheme</t>
        </is>
      </c>
      <c r="C150" s="2" t="inlineStr">
        <is>
          <t>Corporate (telecoms)</t>
        </is>
      </c>
      <c r="D150" s="2" t="inlineStr">
        <is>
          <t>various</t>
        </is>
      </c>
      <c r="E150" s="2" t="n">
        <v>200</v>
      </c>
      <c r="F150" s="2" t="n">
        <v>2023</v>
      </c>
      <c r="G150" s="2" t="inlineStr">
        <is>
          <t>KES</t>
        </is>
      </c>
      <c r="H150" s="2" t="inlineStr">
        <is>
          <t>RBA</t>
        </is>
      </c>
      <c r="I150" s="2" t="inlineStr">
        <is>
          <t>Yes</t>
        </is>
      </c>
      <c r="J150" s="2" t="inlineStr">
        <is>
          <t>L</t>
        </is>
      </c>
      <c r="K150" s="2" t="inlineStr">
        <is>
          <t>AUM TBC; large staff base.</t>
        </is>
      </c>
    </row>
    <row r="151" ht="15" customHeight="1" s="16">
      <c r="A151" s="2" t="inlineStr">
        <is>
          <t>Kenya</t>
        </is>
      </c>
      <c r="B151" s="2" t="inlineStr">
        <is>
          <t>Octagon Africa Master Trust (umbrella)</t>
        </is>
      </c>
      <c r="C151" s="2" t="inlineStr">
        <is>
          <t>Umbrella DC</t>
        </is>
      </c>
      <c r="D151" s="2" t="n">
        <v>2007</v>
      </c>
      <c r="E151" s="2" t="n">
        <v>300</v>
      </c>
      <c r="F151" s="2" t="n">
        <v>2024</v>
      </c>
      <c r="G151" s="2" t="inlineStr">
        <is>
          <t>KES</t>
        </is>
      </c>
      <c r="H151" s="2" t="inlineStr">
        <is>
          <t>RBA</t>
        </is>
      </c>
      <c r="I151" s="2" t="inlineStr">
        <is>
          <t>Yes</t>
        </is>
      </c>
      <c r="J151" s="2" t="inlineStr">
        <is>
          <t>L</t>
        </is>
      </c>
      <c r="K151" s="2" t="inlineStr">
        <is>
          <t>Umbrella sponsor; AUM TBC.</t>
        </is>
      </c>
    </row>
    <row r="152" ht="15" customHeight="1" s="16">
      <c r="A152" s="2" t="inlineStr">
        <is>
          <t>Kenya</t>
        </is>
      </c>
      <c r="B152" s="2" t="inlineStr">
        <is>
          <t>Zamara Fanaka Retirement Fund (umbrella)</t>
        </is>
      </c>
      <c r="C152" s="2" t="inlineStr">
        <is>
          <t>Umbrella DC</t>
        </is>
      </c>
      <c r="D152" s="2" t="inlineStr">
        <is>
          <t>—</t>
        </is>
      </c>
      <c r="E152" s="2" t="n">
        <v>250</v>
      </c>
      <c r="F152" s="2" t="n">
        <v>2024</v>
      </c>
      <c r="G152" s="2" t="inlineStr">
        <is>
          <t>KES</t>
        </is>
      </c>
      <c r="H152" s="2" t="inlineStr">
        <is>
          <t>RBA</t>
        </is>
      </c>
      <c r="I152" s="2" t="inlineStr">
        <is>
          <t>Yes</t>
        </is>
      </c>
      <c r="J152" s="2" t="inlineStr">
        <is>
          <t>L</t>
        </is>
      </c>
      <c r="K152" s="2" t="inlineStr">
        <is>
          <t>Umbrella; AUM TBC.</t>
        </is>
      </c>
    </row>
    <row r="153" ht="15" customHeight="1" s="16">
      <c r="A153" s="2" t="inlineStr">
        <is>
          <t>Kenya</t>
        </is>
      </c>
      <c r="B153" s="2" t="inlineStr">
        <is>
          <t>Alexander Forbes Retirement Fund Kenya (umbrella)</t>
        </is>
      </c>
      <c r="C153" s="2" t="inlineStr">
        <is>
          <t>Umbrella DC</t>
        </is>
      </c>
      <c r="D153" s="2" t="inlineStr">
        <is>
          <t>—</t>
        </is>
      </c>
      <c r="E153" s="2" t="n">
        <v>200</v>
      </c>
      <c r="F153" s="2" t="n">
        <v>2024</v>
      </c>
      <c r="G153" s="2" t="inlineStr">
        <is>
          <t>KES</t>
        </is>
      </c>
      <c r="H153" s="2" t="inlineStr">
        <is>
          <t>RBA</t>
        </is>
      </c>
      <c r="I153" s="2" t="inlineStr">
        <is>
          <t>Yes</t>
        </is>
      </c>
      <c r="J153" s="2" t="inlineStr">
        <is>
          <t>L</t>
        </is>
      </c>
      <c r="K153" s="2" t="inlineStr">
        <is>
          <t>Umbrella; AUM TBC.</t>
        </is>
      </c>
    </row>
    <row r="154" ht="15" customHeight="1" s="16">
      <c r="A154" s="2" t="inlineStr">
        <is>
          <t>Ghana</t>
        </is>
      </c>
      <c r="B154" s="2" t="inlineStr">
        <is>
          <t>Petra Trust Company</t>
        </is>
      </c>
      <c r="C154" s="2" t="inlineStr">
        <is>
          <t>Corporate trustee (Tier 2/3)</t>
        </is>
      </c>
      <c r="D154" s="2" t="n">
        <v>2011</v>
      </c>
      <c r="E154" s="2" t="n">
        <v>600</v>
      </c>
      <c r="F154" s="2" t="n">
        <v>2024</v>
      </c>
      <c r="G154" s="2" t="inlineStr">
        <is>
          <t>GHS</t>
        </is>
      </c>
      <c r="H154" s="2" t="inlineStr">
        <is>
          <t>NPRA</t>
        </is>
      </c>
      <c r="I154" s="2" t="inlineStr">
        <is>
          <t>Yes</t>
        </is>
      </c>
      <c r="J154" s="2" t="inlineStr">
        <is>
          <t>M</t>
        </is>
      </c>
      <c r="K154" s="2" t="inlineStr">
        <is>
          <t>Largest private trustee in Ghana.</t>
        </is>
      </c>
    </row>
    <row r="155" ht="15" customHeight="1" s="16">
      <c r="A155" s="2" t="inlineStr">
        <is>
          <t>Ghana</t>
        </is>
      </c>
      <c r="B155" s="2" t="inlineStr">
        <is>
          <t>Enterprise Trustees Limited</t>
        </is>
      </c>
      <c r="C155" s="2" t="inlineStr">
        <is>
          <t>Corporate trustee (Tier 2/3)</t>
        </is>
      </c>
      <c r="D155" s="2" t="n">
        <v>2011</v>
      </c>
      <c r="E155" s="2" t="n">
        <v>500</v>
      </c>
      <c r="F155" s="2" t="n">
        <v>2024</v>
      </c>
      <c r="G155" s="2" t="inlineStr">
        <is>
          <t>GHS</t>
        </is>
      </c>
      <c r="H155" s="2" t="inlineStr">
        <is>
          <t>NPRA</t>
        </is>
      </c>
      <c r="I155" s="2" t="inlineStr">
        <is>
          <t>Yes</t>
        </is>
      </c>
      <c r="J155" s="2" t="inlineStr">
        <is>
          <t>M</t>
        </is>
      </c>
      <c r="K155" s="2" t="inlineStr">
        <is>
          <t>Top-tier private trustee.</t>
        </is>
      </c>
    </row>
    <row r="156" ht="15" customHeight="1" s="16">
      <c r="A156" s="2" t="inlineStr">
        <is>
          <t>Ghana</t>
        </is>
      </c>
      <c r="B156" s="2" t="inlineStr">
        <is>
          <t>Glico Pensions Trustee Company</t>
        </is>
      </c>
      <c r="C156" s="2" t="inlineStr">
        <is>
          <t>Corporate trustee</t>
        </is>
      </c>
      <c r="D156" s="2" t="n">
        <v>2011</v>
      </c>
      <c r="E156" s="2" t="n">
        <v>250</v>
      </c>
      <c r="F156" s="2" t="n">
        <v>2023</v>
      </c>
      <c r="G156" s="2" t="inlineStr">
        <is>
          <t>GHS</t>
        </is>
      </c>
      <c r="H156" s="2" t="inlineStr">
        <is>
          <t>NPRA</t>
        </is>
      </c>
      <c r="I156" s="2" t="inlineStr">
        <is>
          <t>Yes</t>
        </is>
      </c>
      <c r="J156" s="2" t="inlineStr">
        <is>
          <t>M</t>
        </is>
      </c>
      <c r="K156" s="2" t="n"/>
    </row>
    <row r="157" ht="15" customHeight="1" s="16">
      <c r="A157" s="2" t="inlineStr">
        <is>
          <t>Ghana</t>
        </is>
      </c>
      <c r="B157" s="2" t="inlineStr">
        <is>
          <t>Old Mutual Pensions Trust Ghana</t>
        </is>
      </c>
      <c r="C157" s="2" t="inlineStr">
        <is>
          <t>Corporate trustee</t>
        </is>
      </c>
      <c r="D157" s="2" t="n">
        <v>2011</v>
      </c>
      <c r="E157" s="2" t="n">
        <v>250</v>
      </c>
      <c r="F157" s="2" t="n">
        <v>2023</v>
      </c>
      <c r="G157" s="2" t="inlineStr">
        <is>
          <t>GHS</t>
        </is>
      </c>
      <c r="H157" s="2" t="inlineStr">
        <is>
          <t>NPRA</t>
        </is>
      </c>
      <c r="I157" s="2" t="inlineStr">
        <is>
          <t>Yes</t>
        </is>
      </c>
      <c r="J157" s="2" t="inlineStr">
        <is>
          <t>M</t>
        </is>
      </c>
      <c r="K157" s="2" t="n"/>
    </row>
    <row r="158" ht="15" customHeight="1" s="16">
      <c r="A158" s="2" t="inlineStr">
        <is>
          <t>Ghana</t>
        </is>
      </c>
      <c r="B158" s="2" t="inlineStr">
        <is>
          <t>Negotiated Benefits Trust Company (NBTC)</t>
        </is>
      </c>
      <c r="C158" s="2" t="inlineStr">
        <is>
          <t>Corporate trustee</t>
        </is>
      </c>
      <c r="D158" s="2" t="n">
        <v>2011</v>
      </c>
      <c r="E158" s="2" t="n">
        <v>300</v>
      </c>
      <c r="F158" s="2" t="n">
        <v>2023</v>
      </c>
      <c r="G158" s="2" t="inlineStr">
        <is>
          <t>GHS</t>
        </is>
      </c>
      <c r="H158" s="2" t="inlineStr">
        <is>
          <t>NPRA</t>
        </is>
      </c>
      <c r="I158" s="2" t="inlineStr">
        <is>
          <t>Yes</t>
        </is>
      </c>
      <c r="J158" s="2" t="inlineStr">
        <is>
          <t>M</t>
        </is>
      </c>
      <c r="K158" s="2" t="n"/>
    </row>
    <row r="159" ht="15" customHeight="1" s="16">
      <c r="A159" s="2" t="inlineStr">
        <is>
          <t>Ghana</t>
        </is>
      </c>
      <c r="B159" s="2" t="inlineStr">
        <is>
          <t>Axis Pension Trust</t>
        </is>
      </c>
      <c r="C159" s="2" t="inlineStr">
        <is>
          <t>Corporate trustee</t>
        </is>
      </c>
      <c r="D159" s="2" t="n">
        <v>2011</v>
      </c>
      <c r="E159" s="2" t="n">
        <v>200</v>
      </c>
      <c r="F159" s="2" t="n">
        <v>2023</v>
      </c>
      <c r="G159" s="2" t="inlineStr">
        <is>
          <t>GHS</t>
        </is>
      </c>
      <c r="H159" s="2" t="inlineStr">
        <is>
          <t>NPRA</t>
        </is>
      </c>
      <c r="I159" s="2" t="inlineStr">
        <is>
          <t>Yes</t>
        </is>
      </c>
      <c r="J159" s="2" t="inlineStr">
        <is>
          <t>M</t>
        </is>
      </c>
      <c r="K159" s="2" t="n"/>
    </row>
    <row r="160" ht="15" customHeight="1" s="16">
      <c r="A160" s="2" t="inlineStr">
        <is>
          <t>Ghana</t>
        </is>
      </c>
      <c r="B160" s="2" t="inlineStr">
        <is>
          <t>Pensions Alliance Trust (Ghana)</t>
        </is>
      </c>
      <c r="C160" s="2" t="inlineStr">
        <is>
          <t>Corporate trustee</t>
        </is>
      </c>
      <c r="D160" s="2" t="n">
        <v>2011</v>
      </c>
      <c r="E160" s="2" t="n">
        <v>200</v>
      </c>
      <c r="F160" s="2" t="n">
        <v>2023</v>
      </c>
      <c r="G160" s="2" t="inlineStr">
        <is>
          <t>GHS</t>
        </is>
      </c>
      <c r="H160" s="2" t="inlineStr">
        <is>
          <t>NPRA</t>
        </is>
      </c>
      <c r="I160" s="2" t="inlineStr">
        <is>
          <t>Yes</t>
        </is>
      </c>
      <c r="J160" s="2" t="inlineStr">
        <is>
          <t>L</t>
        </is>
      </c>
      <c r="K160" s="2" t="inlineStr">
        <is>
          <t>AUM TBC.</t>
        </is>
      </c>
    </row>
    <row r="161" ht="15" customHeight="1" s="16">
      <c r="A161" s="2" t="inlineStr">
        <is>
          <t>Ghana</t>
        </is>
      </c>
      <c r="B161" s="2" t="inlineStr">
        <is>
          <t>Daakye Pension Trust</t>
        </is>
      </c>
      <c r="C161" s="2" t="inlineStr">
        <is>
          <t>Corporate trustee</t>
        </is>
      </c>
      <c r="D161" s="2" t="n">
        <v>2011</v>
      </c>
      <c r="E161" s="2" t="n">
        <v>150</v>
      </c>
      <c r="F161" s="2" t="n">
        <v>2023</v>
      </c>
      <c r="G161" s="2" t="inlineStr">
        <is>
          <t>GHS</t>
        </is>
      </c>
      <c r="H161" s="2" t="inlineStr">
        <is>
          <t>NPRA</t>
        </is>
      </c>
      <c r="I161" s="2" t="inlineStr">
        <is>
          <t>Yes</t>
        </is>
      </c>
      <c r="J161" s="2" t="inlineStr">
        <is>
          <t>L</t>
        </is>
      </c>
      <c r="K161" s="2" t="inlineStr">
        <is>
          <t>AUM TBC.</t>
        </is>
      </c>
    </row>
    <row r="162" ht="15" customHeight="1" s="16">
      <c r="A162" s="2" t="inlineStr">
        <is>
          <t>Ghana</t>
        </is>
      </c>
      <c r="B162" s="2" t="inlineStr">
        <is>
          <t>Hedge Pensions Trust</t>
        </is>
      </c>
      <c r="C162" s="2" t="inlineStr">
        <is>
          <t>Corporate trustee</t>
        </is>
      </c>
      <c r="D162" s="2" t="n">
        <v>2011</v>
      </c>
      <c r="E162" s="2" t="n">
        <v>150</v>
      </c>
      <c r="F162" s="2" t="n">
        <v>2023</v>
      </c>
      <c r="G162" s="2" t="inlineStr">
        <is>
          <t>GHS</t>
        </is>
      </c>
      <c r="H162" s="2" t="inlineStr">
        <is>
          <t>NPRA</t>
        </is>
      </c>
      <c r="I162" s="2" t="inlineStr">
        <is>
          <t>Yes</t>
        </is>
      </c>
      <c r="J162" s="2" t="inlineStr">
        <is>
          <t>L</t>
        </is>
      </c>
      <c r="K162" s="2" t="inlineStr">
        <is>
          <t>AUM TBC.</t>
        </is>
      </c>
    </row>
    <row r="163" ht="15" customHeight="1" s="16">
      <c r="A163" s="2" t="inlineStr">
        <is>
          <t>Ghana</t>
        </is>
      </c>
      <c r="B163" s="2" t="inlineStr">
        <is>
          <t>Republic Boafo Pensions Trust</t>
        </is>
      </c>
      <c r="C163" s="2" t="inlineStr">
        <is>
          <t>Corporate trustee</t>
        </is>
      </c>
      <c r="D163" s="2" t="n">
        <v>2011</v>
      </c>
      <c r="E163" s="2" t="n">
        <v>100</v>
      </c>
      <c r="F163" s="2" t="n">
        <v>2023</v>
      </c>
      <c r="G163" s="2" t="inlineStr">
        <is>
          <t>GHS</t>
        </is>
      </c>
      <c r="H163" s="2" t="inlineStr">
        <is>
          <t>NPRA</t>
        </is>
      </c>
      <c r="I163" s="2" t="inlineStr">
        <is>
          <t>Yes</t>
        </is>
      </c>
      <c r="J163" s="2" t="inlineStr">
        <is>
          <t>L</t>
        </is>
      </c>
      <c r="K163" s="2" t="inlineStr">
        <is>
          <t>AUM TBC.</t>
        </is>
      </c>
    </row>
    <row r="164" ht="15" customHeight="1" s="16">
      <c r="A164" s="2" t="inlineStr">
        <is>
          <t>Ghana</t>
        </is>
      </c>
      <c r="B164" s="2" t="inlineStr">
        <is>
          <t>Best Pensions Trust</t>
        </is>
      </c>
      <c r="C164" s="2" t="inlineStr">
        <is>
          <t>Corporate trustee</t>
        </is>
      </c>
      <c r="D164" s="2" t="n">
        <v>2011</v>
      </c>
      <c r="E164" s="2" t="n">
        <v>100</v>
      </c>
      <c r="F164" s="2" t="n">
        <v>2023</v>
      </c>
      <c r="G164" s="2" t="inlineStr">
        <is>
          <t>GHS</t>
        </is>
      </c>
      <c r="H164" s="2" t="inlineStr">
        <is>
          <t>NPRA</t>
        </is>
      </c>
      <c r="I164" s="2" t="inlineStr">
        <is>
          <t>Yes</t>
        </is>
      </c>
      <c r="J164" s="2" t="inlineStr">
        <is>
          <t>L</t>
        </is>
      </c>
      <c r="K164" s="2" t="inlineStr">
        <is>
          <t>AUM TBC.</t>
        </is>
      </c>
    </row>
    <row r="165" ht="15" customHeight="1" s="16">
      <c r="A165" s="2" t="inlineStr">
        <is>
          <t>Ghana</t>
        </is>
      </c>
      <c r="B165" s="2" t="inlineStr">
        <is>
          <t>Stallion Trust</t>
        </is>
      </c>
      <c r="C165" s="2" t="inlineStr">
        <is>
          <t>Corporate trustee</t>
        </is>
      </c>
      <c r="D165" s="2" t="n">
        <v>2011</v>
      </c>
      <c r="E165" s="2" t="n">
        <v>80</v>
      </c>
      <c r="F165" s="2" t="n">
        <v>2023</v>
      </c>
      <c r="G165" s="2" t="inlineStr">
        <is>
          <t>GHS</t>
        </is>
      </c>
      <c r="H165" s="2" t="inlineStr">
        <is>
          <t>NPRA</t>
        </is>
      </c>
      <c r="I165" s="2" t="inlineStr">
        <is>
          <t>Yes</t>
        </is>
      </c>
      <c r="J165" s="2" t="inlineStr">
        <is>
          <t>L</t>
        </is>
      </c>
      <c r="K165" s="2" t="inlineStr">
        <is>
          <t>AUM TBC.</t>
        </is>
      </c>
    </row>
    <row r="166" ht="15" customHeight="1" s="16">
      <c r="A166" s="2" t="inlineStr">
        <is>
          <t>Uganda</t>
        </is>
      </c>
      <c r="B166" s="2" t="inlineStr">
        <is>
          <t>Parliamentary Pension Scheme (Uganda)</t>
        </is>
      </c>
      <c r="C166" s="2" t="inlineStr">
        <is>
          <t>Public (legislative)</t>
        </is>
      </c>
      <c r="D166" s="2" t="n">
        <v>2007</v>
      </c>
      <c r="E166" s="2" t="n">
        <v>150</v>
      </c>
      <c r="F166" s="2" t="n">
        <v>2023</v>
      </c>
      <c r="G166" s="2" t="inlineStr">
        <is>
          <t>UGX</t>
        </is>
      </c>
      <c r="H166" s="2" t="inlineStr">
        <is>
          <t>URBRA</t>
        </is>
      </c>
      <c r="I166" s="2" t="inlineStr">
        <is>
          <t>Yes</t>
        </is>
      </c>
      <c r="J166" s="2" t="inlineStr">
        <is>
          <t>M</t>
        </is>
      </c>
      <c r="K166" s="2" t="inlineStr">
        <is>
          <t>Established under Parliamentary Pensions Act.</t>
        </is>
      </c>
    </row>
    <row r="167" ht="15" customHeight="1" s="16">
      <c r="A167" s="2" t="inlineStr">
        <is>
          <t>Uganda</t>
        </is>
      </c>
      <c r="B167" s="2" t="inlineStr">
        <is>
          <t>Bank of Uganda Defined Benefits Scheme</t>
        </is>
      </c>
      <c r="C167" s="2" t="inlineStr">
        <is>
          <t>Occupational (central bank)</t>
        </is>
      </c>
      <c r="D167" s="2" t="inlineStr">
        <is>
          <t>various</t>
        </is>
      </c>
      <c r="E167" s="2" t="n">
        <v>100</v>
      </c>
      <c r="F167" s="2" t="n">
        <v>2023</v>
      </c>
      <c r="G167" s="2" t="inlineStr">
        <is>
          <t>UGX</t>
        </is>
      </c>
      <c r="H167" s="2" t="inlineStr">
        <is>
          <t>URBRA</t>
        </is>
      </c>
      <c r="I167" s="2" t="inlineStr">
        <is>
          <t>Yes</t>
        </is>
      </c>
      <c r="J167" s="2" t="inlineStr">
        <is>
          <t>L</t>
        </is>
      </c>
      <c r="K167" s="2" t="inlineStr">
        <is>
          <t>AUM TBC.</t>
        </is>
      </c>
    </row>
    <row r="168" ht="23.25" customHeight="1" s="16">
      <c r="A168" s="2" t="inlineStr">
        <is>
          <t>Uganda</t>
        </is>
      </c>
      <c r="B168" s="2" t="inlineStr">
        <is>
          <t>National Water and Sewerage Corporation (NWSC) Staff Pension</t>
        </is>
      </c>
      <c r="C168" s="2" t="inlineStr">
        <is>
          <t>Occupational (parastatal)</t>
        </is>
      </c>
      <c r="D168" s="2" t="inlineStr">
        <is>
          <t>various</t>
        </is>
      </c>
      <c r="E168" s="2" t="n">
        <v>80</v>
      </c>
      <c r="F168" s="2" t="n">
        <v>2023</v>
      </c>
      <c r="G168" s="2" t="inlineStr">
        <is>
          <t>UGX</t>
        </is>
      </c>
      <c r="H168" s="2" t="inlineStr">
        <is>
          <t>URBRA</t>
        </is>
      </c>
      <c r="I168" s="2" t="inlineStr">
        <is>
          <t>Yes</t>
        </is>
      </c>
      <c r="J168" s="2" t="inlineStr">
        <is>
          <t>L</t>
        </is>
      </c>
      <c r="K168" s="2" t="inlineStr">
        <is>
          <t>AUM TBC.</t>
        </is>
      </c>
    </row>
    <row r="169" ht="15" customHeight="1" s="16">
      <c r="A169" s="2" t="inlineStr">
        <is>
          <t>Uganda</t>
        </is>
      </c>
      <c r="B169" s="2" t="inlineStr">
        <is>
          <t>Stanbic Bank Uganda Staff Pension</t>
        </is>
      </c>
      <c r="C169" s="2" t="inlineStr">
        <is>
          <t>Corporate (banking)</t>
        </is>
      </c>
      <c r="D169" s="2" t="inlineStr">
        <is>
          <t>various</t>
        </is>
      </c>
      <c r="E169" s="2" t="n">
        <v>80</v>
      </c>
      <c r="F169" s="2" t="n">
        <v>2023</v>
      </c>
      <c r="G169" s="2" t="inlineStr">
        <is>
          <t>UGX</t>
        </is>
      </c>
      <c r="H169" s="2" t="inlineStr">
        <is>
          <t>URBRA</t>
        </is>
      </c>
      <c r="I169" s="2" t="inlineStr">
        <is>
          <t>Yes</t>
        </is>
      </c>
      <c r="J169" s="2" t="inlineStr">
        <is>
          <t>L</t>
        </is>
      </c>
      <c r="K169" s="2" t="inlineStr">
        <is>
          <t>AUM TBC.</t>
        </is>
      </c>
    </row>
    <row r="170" ht="15" customHeight="1" s="16">
      <c r="A170" s="2" t="inlineStr">
        <is>
          <t>Uganda</t>
        </is>
      </c>
      <c r="B170" s="2" t="inlineStr">
        <is>
          <t>Centenary Bank Staff Retirement Benefits</t>
        </is>
      </c>
      <c r="C170" s="2" t="inlineStr">
        <is>
          <t>Corporate (banking)</t>
        </is>
      </c>
      <c r="D170" s="2" t="inlineStr">
        <is>
          <t>various</t>
        </is>
      </c>
      <c r="E170" s="2" t="n">
        <v>60</v>
      </c>
      <c r="F170" s="2" t="n">
        <v>2023</v>
      </c>
      <c r="G170" s="2" t="inlineStr">
        <is>
          <t>UGX</t>
        </is>
      </c>
      <c r="H170" s="2" t="inlineStr">
        <is>
          <t>URBRA</t>
        </is>
      </c>
      <c r="I170" s="2" t="inlineStr">
        <is>
          <t>Yes</t>
        </is>
      </c>
      <c r="J170" s="2" t="inlineStr">
        <is>
          <t>L</t>
        </is>
      </c>
      <c r="K170" s="2" t="inlineStr">
        <is>
          <t>AUM TBC.</t>
        </is>
      </c>
    </row>
    <row r="171" ht="15" customHeight="1" s="16">
      <c r="A171" s="2" t="inlineStr">
        <is>
          <t>Uganda</t>
        </is>
      </c>
      <c r="B171" s="2" t="inlineStr">
        <is>
          <t>MTN Uganda Staff Provident Fund</t>
        </is>
      </c>
      <c r="C171" s="2" t="inlineStr">
        <is>
          <t>Corporate (telecoms)</t>
        </is>
      </c>
      <c r="D171" s="2" t="inlineStr">
        <is>
          <t>various</t>
        </is>
      </c>
      <c r="E171" s="2" t="n">
        <v>60</v>
      </c>
      <c r="F171" s="2" t="n">
        <v>2023</v>
      </c>
      <c r="G171" s="2" t="inlineStr">
        <is>
          <t>UGX</t>
        </is>
      </c>
      <c r="H171" s="2" t="inlineStr">
        <is>
          <t>URBRA</t>
        </is>
      </c>
      <c r="I171" s="2" t="inlineStr">
        <is>
          <t>Yes</t>
        </is>
      </c>
      <c r="J171" s="2" t="inlineStr">
        <is>
          <t>L</t>
        </is>
      </c>
      <c r="K171" s="2" t="inlineStr">
        <is>
          <t>AUM TBC.</t>
        </is>
      </c>
    </row>
    <row r="172" ht="15" customHeight="1" s="16">
      <c r="A172" s="2" t="inlineStr">
        <is>
          <t>Uganda</t>
        </is>
      </c>
      <c r="B172" s="2" t="inlineStr">
        <is>
          <t>Watu Public Servants Pension Scheme (transitional)</t>
        </is>
      </c>
      <c r="C172" s="2" t="inlineStr">
        <is>
          <t>Public (in transition)</t>
        </is>
      </c>
      <c r="D172" s="2" t="n">
        <v>2020</v>
      </c>
      <c r="E172" s="2" t="n">
        <v>200</v>
      </c>
      <c r="F172" s="2" t="n">
        <v>2023</v>
      </c>
      <c r="G172" s="2" t="inlineStr">
        <is>
          <t>UGX</t>
        </is>
      </c>
      <c r="H172" s="2" t="inlineStr">
        <is>
          <t>URBRA</t>
        </is>
      </c>
      <c r="I172" s="2" t="inlineStr">
        <is>
          <t>Limited</t>
        </is>
      </c>
      <c r="J172" s="2" t="inlineStr">
        <is>
          <t>L</t>
        </is>
      </c>
      <c r="K172" s="2" t="inlineStr">
        <is>
          <t>Pending Public Service Pensions Fund operationalisation.</t>
        </is>
      </c>
    </row>
    <row r="173" ht="23.25" customHeight="1" s="16">
      <c r="A173" s="2" t="inlineStr">
        <is>
          <t>Zimbabwe</t>
        </is>
      </c>
      <c r="B173" s="2" t="inlineStr">
        <is>
          <t>Communications and Allied Industries Pension Fund (CAIPF)</t>
        </is>
      </c>
      <c r="C173" s="2" t="inlineStr">
        <is>
          <t>Multi-employer</t>
        </is>
      </c>
      <c r="D173" s="2" t="inlineStr">
        <is>
          <t>various</t>
        </is>
      </c>
      <c r="E173" s="2" t="n">
        <v>150</v>
      </c>
      <c r="F173" s="2" t="n">
        <v>2023</v>
      </c>
      <c r="G173" s="2" t="inlineStr">
        <is>
          <t>USD</t>
        </is>
      </c>
      <c r="H173" s="2" t="inlineStr">
        <is>
          <t>IPEC</t>
        </is>
      </c>
      <c r="I173" s="2" t="inlineStr">
        <is>
          <t>Yes</t>
        </is>
      </c>
      <c r="J173" s="2" t="inlineStr">
        <is>
          <t>M</t>
        </is>
      </c>
      <c r="K173" s="2" t="n"/>
    </row>
    <row r="174" ht="15" customHeight="1" s="16">
      <c r="A174" s="2" t="inlineStr">
        <is>
          <t>Zimbabwe</t>
        </is>
      </c>
      <c r="B174" s="2" t="inlineStr">
        <is>
          <t>Catering Industry Pension Fund</t>
        </is>
      </c>
      <c r="C174" s="2" t="inlineStr">
        <is>
          <t>Multi-employer</t>
        </is>
      </c>
      <c r="D174" s="2" t="inlineStr">
        <is>
          <t>various</t>
        </is>
      </c>
      <c r="E174" s="2" t="n">
        <v>80</v>
      </c>
      <c r="F174" s="2" t="n">
        <v>2023</v>
      </c>
      <c r="G174" s="2" t="inlineStr">
        <is>
          <t>USD</t>
        </is>
      </c>
      <c r="H174" s="2" t="inlineStr">
        <is>
          <t>IPEC</t>
        </is>
      </c>
      <c r="I174" s="2" t="inlineStr">
        <is>
          <t>Yes</t>
        </is>
      </c>
      <c r="J174" s="2" t="inlineStr">
        <is>
          <t>L</t>
        </is>
      </c>
      <c r="K174" s="2" t="inlineStr">
        <is>
          <t>AUM TBC.</t>
        </is>
      </c>
    </row>
    <row r="175" ht="15" customHeight="1" s="16">
      <c r="A175" s="2" t="inlineStr">
        <is>
          <t>Zimbabwe</t>
        </is>
      </c>
      <c r="B175" s="2" t="inlineStr">
        <is>
          <t>ZESA Pension Fund</t>
        </is>
      </c>
      <c r="C175" s="2" t="inlineStr">
        <is>
          <t>Parastatal (electricity)</t>
        </is>
      </c>
      <c r="D175" s="2" t="inlineStr">
        <is>
          <t>various</t>
        </is>
      </c>
      <c r="E175" s="2" t="n">
        <v>150</v>
      </c>
      <c r="F175" s="2" t="n">
        <v>2023</v>
      </c>
      <c r="G175" s="2" t="inlineStr">
        <is>
          <t>USD</t>
        </is>
      </c>
      <c r="H175" s="2" t="inlineStr">
        <is>
          <t>IPEC</t>
        </is>
      </c>
      <c r="I175" s="2" t="inlineStr">
        <is>
          <t>Yes</t>
        </is>
      </c>
      <c r="J175" s="2" t="inlineStr">
        <is>
          <t>L</t>
        </is>
      </c>
      <c r="K175" s="2" t="inlineStr">
        <is>
          <t>AUM TBC.</t>
        </is>
      </c>
    </row>
    <row r="176" ht="15" customHeight="1" s="16">
      <c r="A176" s="2" t="inlineStr">
        <is>
          <t>Zimbabwe</t>
        </is>
      </c>
      <c r="B176" s="2" t="inlineStr">
        <is>
          <t>National Railways of Zimbabwe Contributory Pension Fund</t>
        </is>
      </c>
      <c r="C176" s="2" t="inlineStr">
        <is>
          <t>Parastatal</t>
        </is>
      </c>
      <c r="D176" s="2" t="inlineStr">
        <is>
          <t>various</t>
        </is>
      </c>
      <c r="E176" s="2" t="n">
        <v>100</v>
      </c>
      <c r="F176" s="2" t="n">
        <v>2023</v>
      </c>
      <c r="G176" s="2" t="inlineStr">
        <is>
          <t>USD</t>
        </is>
      </c>
      <c r="H176" s="2" t="inlineStr">
        <is>
          <t>IPEC</t>
        </is>
      </c>
      <c r="I176" s="2" t="inlineStr">
        <is>
          <t>Yes</t>
        </is>
      </c>
      <c r="J176" s="2" t="inlineStr">
        <is>
          <t>L</t>
        </is>
      </c>
      <c r="K176" s="2" t="inlineStr">
        <is>
          <t>AUM TBC.</t>
        </is>
      </c>
    </row>
    <row r="177" ht="15" customHeight="1" s="16">
      <c r="A177" s="2" t="inlineStr">
        <is>
          <t>Zimbabwe</t>
        </is>
      </c>
      <c r="B177" s="2" t="inlineStr">
        <is>
          <t>Old Mutual Zimbabwe Staff Pension Fund</t>
        </is>
      </c>
      <c r="C177" s="2" t="inlineStr">
        <is>
          <t>Corporate</t>
        </is>
      </c>
      <c r="D177" s="2" t="inlineStr">
        <is>
          <t>various</t>
        </is>
      </c>
      <c r="E177" s="2" t="n">
        <v>120</v>
      </c>
      <c r="F177" s="2" t="n">
        <v>2023</v>
      </c>
      <c r="G177" s="2" t="inlineStr">
        <is>
          <t>USD</t>
        </is>
      </c>
      <c r="H177" s="2" t="inlineStr">
        <is>
          <t>IPEC</t>
        </is>
      </c>
      <c r="I177" s="2" t="inlineStr">
        <is>
          <t>Yes</t>
        </is>
      </c>
      <c r="J177" s="2" t="inlineStr">
        <is>
          <t>L</t>
        </is>
      </c>
      <c r="K177" s="2" t="inlineStr">
        <is>
          <t>AUM TBC.</t>
        </is>
      </c>
    </row>
    <row r="178" ht="15" customHeight="1" s="16">
      <c r="A178" s="2" t="inlineStr">
        <is>
          <t>Zimbabwe</t>
        </is>
      </c>
      <c r="B178" s="2" t="inlineStr">
        <is>
          <t>Standard Chartered Zimbabwe Staff Pension</t>
        </is>
      </c>
      <c r="C178" s="2" t="inlineStr">
        <is>
          <t>Corporate (banking)</t>
        </is>
      </c>
      <c r="D178" s="2" t="inlineStr">
        <is>
          <t>various</t>
        </is>
      </c>
      <c r="E178" s="2" t="n">
        <v>80</v>
      </c>
      <c r="F178" s="2" t="n">
        <v>2023</v>
      </c>
      <c r="G178" s="2" t="inlineStr">
        <is>
          <t>USD</t>
        </is>
      </c>
      <c r="H178" s="2" t="inlineStr">
        <is>
          <t>IPEC</t>
        </is>
      </c>
      <c r="I178" s="2" t="inlineStr">
        <is>
          <t>Yes</t>
        </is>
      </c>
      <c r="J178" s="2" t="inlineStr">
        <is>
          <t>L</t>
        </is>
      </c>
      <c r="K178" s="2" t="inlineStr">
        <is>
          <t>AUM TBC.</t>
        </is>
      </c>
    </row>
    <row r="179" ht="15" customHeight="1" s="16">
      <c r="A179" s="2" t="inlineStr">
        <is>
          <t>Zimbabwe</t>
        </is>
      </c>
      <c r="B179" s="2" t="inlineStr">
        <is>
          <t>ZB Bank Staff Pension Fund</t>
        </is>
      </c>
      <c r="C179" s="2" t="inlineStr">
        <is>
          <t>Corporate (banking)</t>
        </is>
      </c>
      <c r="D179" s="2" t="inlineStr">
        <is>
          <t>various</t>
        </is>
      </c>
      <c r="E179" s="2" t="n">
        <v>60</v>
      </c>
      <c r="F179" s="2" t="n">
        <v>2023</v>
      </c>
      <c r="G179" s="2" t="inlineStr">
        <is>
          <t>USD</t>
        </is>
      </c>
      <c r="H179" s="2" t="inlineStr">
        <is>
          <t>IPEC</t>
        </is>
      </c>
      <c r="I179" s="2" t="inlineStr">
        <is>
          <t>Yes</t>
        </is>
      </c>
      <c r="J179" s="2" t="inlineStr">
        <is>
          <t>L</t>
        </is>
      </c>
      <c r="K179" s="2" t="inlineStr">
        <is>
          <t>AUM TBC.</t>
        </is>
      </c>
    </row>
    <row r="180" ht="15" customHeight="1" s="16">
      <c r="A180" s="2" t="inlineStr">
        <is>
          <t>Botswana</t>
        </is>
      </c>
      <c r="B180" s="2" t="inlineStr">
        <is>
          <t>Botswana Telecommunications Corporation (BTC) Pension</t>
        </is>
      </c>
      <c r="C180" s="2" t="inlineStr">
        <is>
          <t>Parastatal</t>
        </is>
      </c>
      <c r="D180" s="2" t="inlineStr">
        <is>
          <t>various</t>
        </is>
      </c>
      <c r="E180" s="2" t="n">
        <v>200</v>
      </c>
      <c r="F180" s="2" t="n">
        <v>2023</v>
      </c>
      <c r="G180" s="2" t="inlineStr">
        <is>
          <t>BWP</t>
        </is>
      </c>
      <c r="H180" s="2" t="inlineStr">
        <is>
          <t>NBFIRA</t>
        </is>
      </c>
      <c r="I180" s="2" t="inlineStr">
        <is>
          <t>Yes</t>
        </is>
      </c>
      <c r="J180" s="2" t="inlineStr">
        <is>
          <t>M</t>
        </is>
      </c>
      <c r="K180" s="2" t="n"/>
    </row>
    <row r="181" ht="15" customHeight="1" s="16">
      <c r="A181" s="2" t="inlineStr">
        <is>
          <t>Botswana</t>
        </is>
      </c>
      <c r="B181" s="2" t="inlineStr">
        <is>
          <t>Botswana Power Corporation (BPC) Pension Fund</t>
        </is>
      </c>
      <c r="C181" s="2" t="inlineStr">
        <is>
          <t>Parastatal</t>
        </is>
      </c>
      <c r="D181" s="2" t="inlineStr">
        <is>
          <t>various</t>
        </is>
      </c>
      <c r="E181" s="2" t="n">
        <v>250</v>
      </c>
      <c r="F181" s="2" t="n">
        <v>2023</v>
      </c>
      <c r="G181" s="2" t="inlineStr">
        <is>
          <t>BWP</t>
        </is>
      </c>
      <c r="H181" s="2" t="inlineStr">
        <is>
          <t>NBFIRA</t>
        </is>
      </c>
      <c r="I181" s="2" t="inlineStr">
        <is>
          <t>Yes</t>
        </is>
      </c>
      <c r="J181" s="2" t="inlineStr">
        <is>
          <t>M</t>
        </is>
      </c>
      <c r="K181" s="2" t="n"/>
    </row>
    <row r="182" ht="15" customHeight="1" s="16">
      <c r="A182" s="2" t="inlineStr">
        <is>
          <t>Botswana</t>
        </is>
      </c>
      <c r="B182" s="2" t="inlineStr">
        <is>
          <t>Botswana Railways Staff Pension</t>
        </is>
      </c>
      <c r="C182" s="2" t="inlineStr">
        <is>
          <t>Parastatal</t>
        </is>
      </c>
      <c r="D182" s="2" t="inlineStr">
        <is>
          <t>various</t>
        </is>
      </c>
      <c r="E182" s="2" t="n">
        <v>100</v>
      </c>
      <c r="F182" s="2" t="n">
        <v>2023</v>
      </c>
      <c r="G182" s="2" t="inlineStr">
        <is>
          <t>BWP</t>
        </is>
      </c>
      <c r="H182" s="2" t="inlineStr">
        <is>
          <t>NBFIRA</t>
        </is>
      </c>
      <c r="I182" s="2" t="inlineStr">
        <is>
          <t>Yes</t>
        </is>
      </c>
      <c r="J182" s="2" t="inlineStr">
        <is>
          <t>L</t>
        </is>
      </c>
      <c r="K182" s="2" t="inlineStr">
        <is>
          <t>AUM TBC.</t>
        </is>
      </c>
    </row>
    <row r="183" ht="15" customHeight="1" s="16">
      <c r="A183" s="2" t="inlineStr">
        <is>
          <t>Botswana</t>
        </is>
      </c>
      <c r="B183" s="2" t="inlineStr">
        <is>
          <t>BotswanaPost Pension Fund</t>
        </is>
      </c>
      <c r="C183" s="2" t="inlineStr">
        <is>
          <t>Parastatal</t>
        </is>
      </c>
      <c r="D183" s="2" t="inlineStr">
        <is>
          <t>various</t>
        </is>
      </c>
      <c r="E183" s="2" t="n">
        <v>80</v>
      </c>
      <c r="F183" s="2" t="n">
        <v>2023</v>
      </c>
      <c r="G183" s="2" t="inlineStr">
        <is>
          <t>BWP</t>
        </is>
      </c>
      <c r="H183" s="2" t="inlineStr">
        <is>
          <t>NBFIRA</t>
        </is>
      </c>
      <c r="I183" s="2" t="inlineStr">
        <is>
          <t>Yes</t>
        </is>
      </c>
      <c r="J183" s="2" t="inlineStr">
        <is>
          <t>L</t>
        </is>
      </c>
      <c r="K183" s="2" t="inlineStr">
        <is>
          <t>AUM TBC.</t>
        </is>
      </c>
    </row>
    <row r="184" ht="15" customHeight="1" s="16">
      <c r="A184" s="2" t="inlineStr">
        <is>
          <t>Botswana</t>
        </is>
      </c>
      <c r="B184" s="2" t="inlineStr">
        <is>
          <t>Air Botswana Pension Fund</t>
        </is>
      </c>
      <c r="C184" s="2" t="inlineStr">
        <is>
          <t>Parastatal</t>
        </is>
      </c>
      <c r="D184" s="2" t="inlineStr">
        <is>
          <t>various</t>
        </is>
      </c>
      <c r="E184" s="2" t="n">
        <v>50</v>
      </c>
      <c r="F184" s="2" t="n">
        <v>2023</v>
      </c>
      <c r="G184" s="2" t="inlineStr">
        <is>
          <t>BWP</t>
        </is>
      </c>
      <c r="H184" s="2" t="inlineStr">
        <is>
          <t>NBFIRA</t>
        </is>
      </c>
      <c r="I184" s="2" t="inlineStr">
        <is>
          <t>Yes</t>
        </is>
      </c>
      <c r="J184" s="2" t="inlineStr">
        <is>
          <t>L</t>
        </is>
      </c>
      <c r="K184" s="2" t="inlineStr">
        <is>
          <t>AUM TBC.</t>
        </is>
      </c>
    </row>
    <row r="185" ht="23.25" customHeight="1" s="16">
      <c r="A185" s="2" t="inlineStr">
        <is>
          <t>Namibia</t>
        </is>
      </c>
      <c r="B185" s="2" t="inlineStr">
        <is>
          <t>Benchmark Retirement Fund (umbrella)</t>
        </is>
      </c>
      <c r="C185" s="2" t="inlineStr">
        <is>
          <t>Umbrella DC</t>
        </is>
      </c>
      <c r="D185" s="2" t="n">
        <v>2000</v>
      </c>
      <c r="E185" s="2" t="n">
        <v>1500</v>
      </c>
      <c r="F185" s="2" t="n">
        <v>2024</v>
      </c>
      <c r="G185" s="2" t="inlineStr">
        <is>
          <t>NAD</t>
        </is>
      </c>
      <c r="H185" s="2" t="inlineStr">
        <is>
          <t>NAMFISA</t>
        </is>
      </c>
      <c r="I185" s="2" t="inlineStr">
        <is>
          <t>Yes</t>
        </is>
      </c>
      <c r="J185" s="2" t="inlineStr">
        <is>
          <t>M</t>
        </is>
      </c>
      <c r="K185" s="2" t="inlineStr">
        <is>
          <t>Largest umbrella fund in Namibia; sponsored by RFS Fund Administrators.</t>
        </is>
      </c>
    </row>
    <row r="186" ht="15" customHeight="1" s="16">
      <c r="A186" s="2" t="inlineStr">
        <is>
          <t>Namibia</t>
        </is>
      </c>
      <c r="B186" s="2" t="inlineStr">
        <is>
          <t>NamPower Provident Fund</t>
        </is>
      </c>
      <c r="C186" s="2" t="inlineStr">
        <is>
          <t>Parastatal (electricity)</t>
        </is>
      </c>
      <c r="D186" s="2" t="inlineStr">
        <is>
          <t>various</t>
        </is>
      </c>
      <c r="E186" s="2" t="n">
        <v>400</v>
      </c>
      <c r="F186" s="2" t="n">
        <v>2023</v>
      </c>
      <c r="G186" s="2" t="inlineStr">
        <is>
          <t>NAD</t>
        </is>
      </c>
      <c r="H186" s="2" t="inlineStr">
        <is>
          <t>NAMFISA</t>
        </is>
      </c>
      <c r="I186" s="2" t="inlineStr">
        <is>
          <t>Yes</t>
        </is>
      </c>
      <c r="J186" s="2" t="inlineStr">
        <is>
          <t>M</t>
        </is>
      </c>
      <c r="K186" s="2" t="n"/>
    </row>
    <row r="187" ht="15" customHeight="1" s="16">
      <c r="A187" s="2" t="inlineStr">
        <is>
          <t>Namibia</t>
        </is>
      </c>
      <c r="B187" s="2" t="inlineStr">
        <is>
          <t>Telecom Namibia Retirement Fund</t>
        </is>
      </c>
      <c r="C187" s="2" t="inlineStr">
        <is>
          <t>Parastatal (telecoms)</t>
        </is>
      </c>
      <c r="D187" s="2" t="inlineStr">
        <is>
          <t>various</t>
        </is>
      </c>
      <c r="E187" s="2" t="n">
        <v>250</v>
      </c>
      <c r="F187" s="2" t="n">
        <v>2023</v>
      </c>
      <c r="G187" s="2" t="inlineStr">
        <is>
          <t>NAD</t>
        </is>
      </c>
      <c r="H187" s="2" t="inlineStr">
        <is>
          <t>NAMFISA</t>
        </is>
      </c>
      <c r="I187" s="2" t="inlineStr">
        <is>
          <t>Yes</t>
        </is>
      </c>
      <c r="J187" s="2" t="inlineStr">
        <is>
          <t>M</t>
        </is>
      </c>
      <c r="K187" s="2" t="n"/>
    </row>
    <row r="188" ht="15" customHeight="1" s="16">
      <c r="A188" s="2" t="inlineStr">
        <is>
          <t>Namibia</t>
        </is>
      </c>
      <c r="B188" s="2" t="inlineStr">
        <is>
          <t>Bank Windhoek / Capricorn Group Pension</t>
        </is>
      </c>
      <c r="C188" s="2" t="inlineStr">
        <is>
          <t>Corporate (banking)</t>
        </is>
      </c>
      <c r="D188" s="2" t="inlineStr">
        <is>
          <t>various</t>
        </is>
      </c>
      <c r="E188" s="2" t="n">
        <v>200</v>
      </c>
      <c r="F188" s="2" t="n">
        <v>2023</v>
      </c>
      <c r="G188" s="2" t="inlineStr">
        <is>
          <t>NAD</t>
        </is>
      </c>
      <c r="H188" s="2" t="inlineStr">
        <is>
          <t>NAMFISA</t>
        </is>
      </c>
      <c r="I188" s="2" t="inlineStr">
        <is>
          <t>Yes</t>
        </is>
      </c>
      <c r="J188" s="2" t="inlineStr">
        <is>
          <t>M</t>
        </is>
      </c>
      <c r="K188" s="2" t="n"/>
    </row>
    <row r="189" ht="15" customHeight="1" s="16">
      <c r="A189" s="2" t="inlineStr">
        <is>
          <t>Namibia</t>
        </is>
      </c>
      <c r="B189" s="2" t="inlineStr">
        <is>
          <t>Standard Bank Namibia Staff Pension</t>
        </is>
      </c>
      <c r="C189" s="2" t="inlineStr">
        <is>
          <t>Corporate (banking)</t>
        </is>
      </c>
      <c r="D189" s="2" t="inlineStr">
        <is>
          <t>various</t>
        </is>
      </c>
      <c r="E189" s="2" t="n">
        <v>150</v>
      </c>
      <c r="F189" s="2" t="n">
        <v>2023</v>
      </c>
      <c r="G189" s="2" t="inlineStr">
        <is>
          <t>NAD</t>
        </is>
      </c>
      <c r="H189" s="2" t="inlineStr">
        <is>
          <t>NAMFISA</t>
        </is>
      </c>
      <c r="I189" s="2" t="inlineStr">
        <is>
          <t>Yes</t>
        </is>
      </c>
      <c r="J189" s="2" t="inlineStr">
        <is>
          <t>L</t>
        </is>
      </c>
      <c r="K189" s="2" t="inlineStr">
        <is>
          <t>AUM TBC.</t>
        </is>
      </c>
    </row>
    <row r="190" ht="15" customHeight="1" s="16">
      <c r="A190" s="2" t="inlineStr">
        <is>
          <t>Namibia</t>
        </is>
      </c>
      <c r="B190" s="2" t="inlineStr">
        <is>
          <t>Sanlam Umbrella Pension Fund (Namibia)</t>
        </is>
      </c>
      <c r="C190" s="2" t="inlineStr">
        <is>
          <t>Umbrella DC</t>
        </is>
      </c>
      <c r="D190" s="2" t="inlineStr">
        <is>
          <t>—</t>
        </is>
      </c>
      <c r="E190" s="2" t="n">
        <v>400</v>
      </c>
      <c r="F190" s="2" t="n">
        <v>2024</v>
      </c>
      <c r="G190" s="2" t="inlineStr">
        <is>
          <t>NAD</t>
        </is>
      </c>
      <c r="H190" s="2" t="inlineStr">
        <is>
          <t>NAMFISA</t>
        </is>
      </c>
      <c r="I190" s="2" t="inlineStr">
        <is>
          <t>Yes</t>
        </is>
      </c>
      <c r="J190" s="2" t="inlineStr">
        <is>
          <t>M</t>
        </is>
      </c>
      <c r="K190" s="2" t="n"/>
    </row>
    <row r="191" ht="15" customHeight="1" s="16">
      <c r="A191" s="2" t="inlineStr">
        <is>
          <t>Mauritius</t>
        </is>
      </c>
      <c r="B191" s="2" t="inlineStr">
        <is>
          <t>Mauritius Commercial Bank (MCB) Pension Fund</t>
        </is>
      </c>
      <c r="C191" s="2" t="inlineStr">
        <is>
          <t>Corporate (banking)</t>
        </is>
      </c>
      <c r="D191" s="2" t="inlineStr">
        <is>
          <t>various</t>
        </is>
      </c>
      <c r="E191" s="2" t="n">
        <v>400</v>
      </c>
      <c r="F191" s="2" t="n">
        <v>2024</v>
      </c>
      <c r="G191" s="2" t="inlineStr">
        <is>
          <t>MUR</t>
        </is>
      </c>
      <c r="H191" s="2" t="inlineStr">
        <is>
          <t>FSC</t>
        </is>
      </c>
      <c r="I191" s="2" t="inlineStr">
        <is>
          <t>Yes</t>
        </is>
      </c>
      <c r="J191" s="2" t="inlineStr">
        <is>
          <t>M</t>
        </is>
      </c>
      <c r="K191" s="2" t="inlineStr">
        <is>
          <t>Largest private corporate pension in Mauritius.</t>
        </is>
      </c>
    </row>
    <row r="192" ht="15" customHeight="1" s="16">
      <c r="A192" s="2" t="inlineStr">
        <is>
          <t>Mauritius</t>
        </is>
      </c>
      <c r="B192" s="2" t="inlineStr">
        <is>
          <t>State Bank of Mauritius (SBM) Pension Fund</t>
        </is>
      </c>
      <c r="C192" s="2" t="inlineStr">
        <is>
          <t>Corporate (banking)</t>
        </is>
      </c>
      <c r="D192" s="2" t="inlineStr">
        <is>
          <t>various</t>
        </is>
      </c>
      <c r="E192" s="2" t="n">
        <v>200</v>
      </c>
      <c r="F192" s="2" t="n">
        <v>2023</v>
      </c>
      <c r="G192" s="2" t="inlineStr">
        <is>
          <t>MUR</t>
        </is>
      </c>
      <c r="H192" s="2" t="inlineStr">
        <is>
          <t>FSC</t>
        </is>
      </c>
      <c r="I192" s="2" t="inlineStr">
        <is>
          <t>Yes</t>
        </is>
      </c>
      <c r="J192" s="2" t="inlineStr">
        <is>
          <t>M</t>
        </is>
      </c>
      <c r="K192" s="2" t="n"/>
    </row>
    <row r="193" ht="15" customHeight="1" s="16">
      <c r="A193" s="2" t="inlineStr">
        <is>
          <t>Mauritius</t>
        </is>
      </c>
      <c r="B193" s="2" t="inlineStr">
        <is>
          <t>Air Mauritius Pension Fund</t>
        </is>
      </c>
      <c r="C193" s="2" t="inlineStr">
        <is>
          <t>Parastatal</t>
        </is>
      </c>
      <c r="D193" s="2" t="inlineStr">
        <is>
          <t>various</t>
        </is>
      </c>
      <c r="E193" s="2" t="n">
        <v>150</v>
      </c>
      <c r="F193" s="2" t="n">
        <v>2023</v>
      </c>
      <c r="G193" s="2" t="inlineStr">
        <is>
          <t>MUR</t>
        </is>
      </c>
      <c r="H193" s="2" t="inlineStr">
        <is>
          <t>FSC</t>
        </is>
      </c>
      <c r="I193" s="2" t="inlineStr">
        <is>
          <t>Yes</t>
        </is>
      </c>
      <c r="J193" s="2" t="inlineStr">
        <is>
          <t>L</t>
        </is>
      </c>
      <c r="K193" s="2" t="inlineStr">
        <is>
          <t>AUM TBC.</t>
        </is>
      </c>
    </row>
    <row r="194" ht="15" customHeight="1" s="16">
      <c r="A194" s="2" t="inlineStr">
        <is>
          <t>Mauritius</t>
        </is>
      </c>
      <c r="B194" s="2" t="inlineStr">
        <is>
          <t>CIM Financial Services Pension Fund</t>
        </is>
      </c>
      <c r="C194" s="2" t="inlineStr">
        <is>
          <t>Corporate</t>
        </is>
      </c>
      <c r="D194" s="2" t="inlineStr">
        <is>
          <t>various</t>
        </is>
      </c>
      <c r="E194" s="2" t="n">
        <v>120</v>
      </c>
      <c r="F194" s="2" t="n">
        <v>2023</v>
      </c>
      <c r="G194" s="2" t="inlineStr">
        <is>
          <t>MUR</t>
        </is>
      </c>
      <c r="H194" s="2" t="inlineStr">
        <is>
          <t>FSC</t>
        </is>
      </c>
      <c r="I194" s="2" t="inlineStr">
        <is>
          <t>Yes</t>
        </is>
      </c>
      <c r="J194" s="2" t="inlineStr">
        <is>
          <t>L</t>
        </is>
      </c>
      <c r="K194" s="2" t="inlineStr">
        <is>
          <t>AUM TBC.</t>
        </is>
      </c>
    </row>
    <row r="195" ht="15" customHeight="1" s="16">
      <c r="A195" s="2" t="inlineStr">
        <is>
          <t>Mauritius</t>
        </is>
      </c>
      <c r="B195" s="2" t="inlineStr">
        <is>
          <t>Anglo-Mauritius Pension Fund</t>
        </is>
      </c>
      <c r="C195" s="2" t="inlineStr">
        <is>
          <t>Corporate / industrial</t>
        </is>
      </c>
      <c r="D195" s="2" t="inlineStr">
        <is>
          <t>various</t>
        </is>
      </c>
      <c r="E195" s="2" t="n">
        <v>200</v>
      </c>
      <c r="F195" s="2" t="n">
        <v>2023</v>
      </c>
      <c r="G195" s="2" t="inlineStr">
        <is>
          <t>MUR</t>
        </is>
      </c>
      <c r="H195" s="2" t="inlineStr">
        <is>
          <t>FSC</t>
        </is>
      </c>
      <c r="I195" s="2" t="inlineStr">
        <is>
          <t>Yes</t>
        </is>
      </c>
      <c r="J195" s="2" t="inlineStr">
        <is>
          <t>L</t>
        </is>
      </c>
      <c r="K195" s="2" t="inlineStr">
        <is>
          <t>AUM TBC.</t>
        </is>
      </c>
    </row>
    <row r="196" ht="15" customHeight="1" s="16">
      <c r="A196" s="2" t="inlineStr">
        <is>
          <t>Zambia</t>
        </is>
      </c>
      <c r="B196" s="2" t="inlineStr">
        <is>
          <t>ZCCM Investments Holdings Pension Scheme</t>
        </is>
      </c>
      <c r="C196" s="2" t="inlineStr">
        <is>
          <t>Parastatal (mining)</t>
        </is>
      </c>
      <c r="D196" s="2" t="inlineStr">
        <is>
          <t>various</t>
        </is>
      </c>
      <c r="E196" s="2" t="n">
        <v>300</v>
      </c>
      <c r="F196" s="2" t="n">
        <v>2023</v>
      </c>
      <c r="G196" s="2" t="inlineStr">
        <is>
          <t>ZMW</t>
        </is>
      </c>
      <c r="H196" s="2" t="inlineStr">
        <is>
          <t>PIA</t>
        </is>
      </c>
      <c r="I196" s="2" t="inlineStr">
        <is>
          <t>Yes</t>
        </is>
      </c>
      <c r="J196" s="2" t="inlineStr">
        <is>
          <t>M</t>
        </is>
      </c>
      <c r="K196" s="2" t="inlineStr">
        <is>
          <t>Mining-parastatal scheme.</t>
        </is>
      </c>
    </row>
    <row r="197" ht="15" customHeight="1" s="16">
      <c r="A197" s="2" t="inlineStr">
        <is>
          <t>Zambia</t>
        </is>
      </c>
      <c r="B197" s="2" t="inlineStr">
        <is>
          <t>Mukuba Pension Trust</t>
        </is>
      </c>
      <c r="C197" s="2" t="inlineStr">
        <is>
          <t>Multi-employer / trustee</t>
        </is>
      </c>
      <c r="D197" s="2" t="inlineStr">
        <is>
          <t>various</t>
        </is>
      </c>
      <c r="E197" s="2" t="n">
        <v>200</v>
      </c>
      <c r="F197" s="2" t="n">
        <v>2023</v>
      </c>
      <c r="G197" s="2" t="inlineStr">
        <is>
          <t>ZMW</t>
        </is>
      </c>
      <c r="H197" s="2" t="inlineStr">
        <is>
          <t>PIA</t>
        </is>
      </c>
      <c r="I197" s="2" t="inlineStr">
        <is>
          <t>Yes</t>
        </is>
      </c>
      <c r="J197" s="2" t="inlineStr">
        <is>
          <t>M</t>
        </is>
      </c>
      <c r="K197" s="2" t="n"/>
    </row>
    <row r="198" ht="15" customHeight="1" s="16">
      <c r="A198" s="2" t="inlineStr">
        <is>
          <t>Zambia</t>
        </is>
      </c>
      <c r="B198" s="2" t="inlineStr">
        <is>
          <t>Saturnia Regna Pension Trust Fund</t>
        </is>
      </c>
      <c r="C198" s="2" t="inlineStr">
        <is>
          <t>Trustee (private sector)</t>
        </is>
      </c>
      <c r="D198" s="2" t="inlineStr">
        <is>
          <t>various</t>
        </is>
      </c>
      <c r="E198" s="2" t="n">
        <v>250</v>
      </c>
      <c r="F198" s="2" t="n">
        <v>2023</v>
      </c>
      <c r="G198" s="2" t="inlineStr">
        <is>
          <t>ZMW</t>
        </is>
      </c>
      <c r="H198" s="2" t="inlineStr">
        <is>
          <t>PIA</t>
        </is>
      </c>
      <c r="I198" s="2" t="inlineStr">
        <is>
          <t>Yes</t>
        </is>
      </c>
      <c r="J198" s="2" t="inlineStr">
        <is>
          <t>M</t>
        </is>
      </c>
      <c r="K198" s="2" t="n"/>
    </row>
    <row r="199" ht="15" customHeight="1" s="16">
      <c r="A199" s="2" t="inlineStr">
        <is>
          <t>Zambia</t>
        </is>
      </c>
      <c r="B199" s="2" t="inlineStr">
        <is>
          <t>ZESCO Pension Trust Scheme</t>
        </is>
      </c>
      <c r="C199" s="2" t="inlineStr">
        <is>
          <t>Parastatal (electricity)</t>
        </is>
      </c>
      <c r="D199" s="2" t="inlineStr">
        <is>
          <t>various</t>
        </is>
      </c>
      <c r="E199" s="2" t="n">
        <v>200</v>
      </c>
      <c r="F199" s="2" t="n">
        <v>2023</v>
      </c>
      <c r="G199" s="2" t="inlineStr">
        <is>
          <t>ZMW</t>
        </is>
      </c>
      <c r="H199" s="2" t="inlineStr">
        <is>
          <t>PIA</t>
        </is>
      </c>
      <c r="I199" s="2" t="inlineStr">
        <is>
          <t>Yes</t>
        </is>
      </c>
      <c r="J199" s="2" t="inlineStr">
        <is>
          <t>L</t>
        </is>
      </c>
      <c r="K199" s="2" t="inlineStr">
        <is>
          <t>AUM TBC.</t>
        </is>
      </c>
    </row>
    <row r="200" ht="15" customHeight="1" s="16">
      <c r="A200" s="2" t="inlineStr">
        <is>
          <t>Zambia</t>
        </is>
      </c>
      <c r="B200" s="2" t="inlineStr">
        <is>
          <t>ZNBC Staff Pension Fund</t>
        </is>
      </c>
      <c r="C200" s="2" t="inlineStr">
        <is>
          <t>Parastatal (broadcasting)</t>
        </is>
      </c>
      <c r="D200" s="2" t="inlineStr">
        <is>
          <t>various</t>
        </is>
      </c>
      <c r="E200" s="2" t="n">
        <v>60</v>
      </c>
      <c r="F200" s="2" t="n">
        <v>2023</v>
      </c>
      <c r="G200" s="2" t="inlineStr">
        <is>
          <t>ZMW</t>
        </is>
      </c>
      <c r="H200" s="2" t="inlineStr">
        <is>
          <t>PIA</t>
        </is>
      </c>
      <c r="I200" s="2" t="inlineStr">
        <is>
          <t>Yes</t>
        </is>
      </c>
      <c r="J200" s="2" t="inlineStr">
        <is>
          <t>L</t>
        </is>
      </c>
      <c r="K200" s="2" t="inlineStr">
        <is>
          <t>AUM TBC.</t>
        </is>
      </c>
    </row>
    <row r="201" ht="15" customHeight="1" s="16">
      <c r="A201" s="2" t="inlineStr">
        <is>
          <t>Tanzania</t>
        </is>
      </c>
      <c r="B201" s="2" t="inlineStr">
        <is>
          <t>CRDB Bank Staff Pension Fund</t>
        </is>
      </c>
      <c r="C201" s="2" t="inlineStr">
        <is>
          <t>Corporate (banking)</t>
        </is>
      </c>
      <c r="D201" s="2" t="inlineStr">
        <is>
          <t>various</t>
        </is>
      </c>
      <c r="E201" s="2" t="n">
        <v>100</v>
      </c>
      <c r="F201" s="2" t="n">
        <v>2023</v>
      </c>
      <c r="G201" s="2" t="inlineStr">
        <is>
          <t>TZS</t>
        </is>
      </c>
      <c r="H201" s="2" t="inlineStr">
        <is>
          <t>SSRA</t>
        </is>
      </c>
      <c r="I201" s="2" t="inlineStr">
        <is>
          <t>Yes</t>
        </is>
      </c>
      <c r="J201" s="2" t="inlineStr">
        <is>
          <t>L</t>
        </is>
      </c>
      <c r="K201" s="2" t="inlineStr">
        <is>
          <t>AUM TBC.</t>
        </is>
      </c>
    </row>
    <row r="202" ht="15" customHeight="1" s="16">
      <c r="A202" s="2" t="inlineStr">
        <is>
          <t>Tanzania</t>
        </is>
      </c>
      <c r="B202" s="2" t="inlineStr">
        <is>
          <t>NMB Bank Staff Retirement Benefits</t>
        </is>
      </c>
      <c r="C202" s="2" t="inlineStr">
        <is>
          <t>Corporate (banking)</t>
        </is>
      </c>
      <c r="D202" s="2" t="inlineStr">
        <is>
          <t>various</t>
        </is>
      </c>
      <c r="E202" s="2" t="n">
        <v>100</v>
      </c>
      <c r="F202" s="2" t="n">
        <v>2023</v>
      </c>
      <c r="G202" s="2" t="inlineStr">
        <is>
          <t>TZS</t>
        </is>
      </c>
      <c r="H202" s="2" t="inlineStr">
        <is>
          <t>SSRA</t>
        </is>
      </c>
      <c r="I202" s="2" t="inlineStr">
        <is>
          <t>Yes</t>
        </is>
      </c>
      <c r="J202" s="2" t="inlineStr">
        <is>
          <t>L</t>
        </is>
      </c>
      <c r="K202" s="2" t="inlineStr">
        <is>
          <t>AUM TBC.</t>
        </is>
      </c>
    </row>
    <row r="203" ht="15" customHeight="1" s="16">
      <c r="A203" s="2" t="inlineStr">
        <is>
          <t>Tanzania</t>
        </is>
      </c>
      <c r="B203" s="2" t="inlineStr">
        <is>
          <t>TANESCO Staff Pension Scheme</t>
        </is>
      </c>
      <c r="C203" s="2" t="inlineStr">
        <is>
          <t>Parastatal (electricity)</t>
        </is>
      </c>
      <c r="D203" s="2" t="inlineStr">
        <is>
          <t>various</t>
        </is>
      </c>
      <c r="E203" s="2" t="n">
        <v>150</v>
      </c>
      <c r="F203" s="2" t="n">
        <v>2023</v>
      </c>
      <c r="G203" s="2" t="inlineStr">
        <is>
          <t>TZS</t>
        </is>
      </c>
      <c r="H203" s="2" t="inlineStr">
        <is>
          <t>SSRA</t>
        </is>
      </c>
      <c r="I203" s="2" t="inlineStr">
        <is>
          <t>Yes</t>
        </is>
      </c>
      <c r="J203" s="2" t="inlineStr">
        <is>
          <t>L</t>
        </is>
      </c>
      <c r="K203" s="2" t="inlineStr">
        <is>
          <t>AUM TBC.</t>
        </is>
      </c>
    </row>
    <row r="204" ht="15" customHeight="1" s="16">
      <c r="A204" s="2" t="inlineStr">
        <is>
          <t>Angola</t>
        </is>
      </c>
      <c r="B204" s="2" t="inlineStr">
        <is>
          <t>Sonangol Pension Fund</t>
        </is>
      </c>
      <c r="C204" s="2" t="inlineStr">
        <is>
          <t>Parastatal (oil)</t>
        </is>
      </c>
      <c r="D204" s="2" t="inlineStr">
        <is>
          <t>various</t>
        </is>
      </c>
      <c r="E204" s="2" t="n">
        <v>800</v>
      </c>
      <c r="F204" s="2" t="n">
        <v>2023</v>
      </c>
      <c r="G204" s="2" t="inlineStr">
        <is>
          <t>AOA/USD</t>
        </is>
      </c>
      <c r="H204" s="2" t="inlineStr">
        <is>
          <t>ARSEG</t>
        </is>
      </c>
      <c r="I204" s="2" t="inlineStr">
        <is>
          <t>Limited</t>
        </is>
      </c>
      <c r="J204" s="2" t="inlineStr">
        <is>
          <t>M</t>
        </is>
      </c>
      <c r="K204" s="2" t="inlineStr">
        <is>
          <t>Material SOE scheme; AUM approximate, disclosure limited.</t>
        </is>
      </c>
    </row>
    <row r="205" ht="15" customHeight="1" s="16">
      <c r="A205" s="2" t="inlineStr">
        <is>
          <t>Angola</t>
        </is>
      </c>
      <c r="B205" s="2" t="inlineStr">
        <is>
          <t>BAI Pension Fund (Banco Angolano de Investimentos)</t>
        </is>
      </c>
      <c r="C205" s="2" t="inlineStr">
        <is>
          <t>Corporate (banking)</t>
        </is>
      </c>
      <c r="D205" s="2" t="inlineStr">
        <is>
          <t>various</t>
        </is>
      </c>
      <c r="E205" s="2" t="n">
        <v>200</v>
      </c>
      <c r="F205" s="2" t="n">
        <v>2023</v>
      </c>
      <c r="G205" s="2" t="inlineStr">
        <is>
          <t>AOA</t>
        </is>
      </c>
      <c r="H205" s="2" t="inlineStr">
        <is>
          <t>ARSEG</t>
        </is>
      </c>
      <c r="I205" s="2" t="inlineStr">
        <is>
          <t>Limited</t>
        </is>
      </c>
      <c r="J205" s="2" t="inlineStr">
        <is>
          <t>L</t>
        </is>
      </c>
      <c r="K205" s="2" t="inlineStr">
        <is>
          <t>AUM TBC.</t>
        </is>
      </c>
    </row>
    <row r="206" ht="15" customHeight="1" s="16">
      <c r="A206" s="2" t="inlineStr">
        <is>
          <t>Angola</t>
        </is>
      </c>
      <c r="B206" s="2" t="inlineStr">
        <is>
          <t>Endiama Staff Pension Fund</t>
        </is>
      </c>
      <c r="C206" s="2" t="inlineStr">
        <is>
          <t>Parastatal (diamonds)</t>
        </is>
      </c>
      <c r="D206" s="2" t="inlineStr">
        <is>
          <t>various</t>
        </is>
      </c>
      <c r="E206" s="2" t="n">
        <v>150</v>
      </c>
      <c r="F206" s="2" t="n">
        <v>2023</v>
      </c>
      <c r="G206" s="2" t="inlineStr">
        <is>
          <t>AOA</t>
        </is>
      </c>
      <c r="H206" s="2" t="inlineStr">
        <is>
          <t>ARSEG</t>
        </is>
      </c>
      <c r="I206" s="2" t="inlineStr">
        <is>
          <t>Limited</t>
        </is>
      </c>
      <c r="J206" s="2" t="inlineStr">
        <is>
          <t>L</t>
        </is>
      </c>
      <c r="K206" s="2" t="inlineStr">
        <is>
          <t>AUM TBC.</t>
        </is>
      </c>
    </row>
    <row r="207" ht="23.25" customHeight="1" s="16">
      <c r="A207" s="2" t="inlineStr">
        <is>
          <t>Mozambique</t>
        </is>
      </c>
      <c r="B207" s="2" t="inlineStr">
        <is>
          <t>Instituto Nacional de Previdência Social dos Funcionários do Estado (INPS-FE)</t>
        </is>
      </c>
      <c r="C207" s="2" t="inlineStr">
        <is>
          <t>Civil service</t>
        </is>
      </c>
      <c r="D207" s="2" t="n">
        <v>1989</v>
      </c>
      <c r="E207" s="2" t="n">
        <v>400</v>
      </c>
      <c r="F207" s="2" t="n">
        <v>2023</v>
      </c>
      <c r="G207" s="2" t="inlineStr">
        <is>
          <t>MZN</t>
        </is>
      </c>
      <c r="H207" s="2" t="inlineStr">
        <is>
          <t>Min. Finance</t>
        </is>
      </c>
      <c r="I207" s="2" t="inlineStr">
        <is>
          <t>Limited</t>
        </is>
      </c>
      <c r="J207" s="2" t="inlineStr">
        <is>
          <t>L</t>
        </is>
      </c>
      <c r="K207" s="2" t="inlineStr">
        <is>
          <t>Civil-service pension separate from INSS.</t>
        </is>
      </c>
    </row>
    <row r="208" ht="15" customHeight="1" s="16">
      <c r="A208" s="2" t="inlineStr">
        <is>
          <t>Mozambique</t>
        </is>
      </c>
      <c r="B208" s="2" t="inlineStr">
        <is>
          <t>Petromoc Pension Fund</t>
        </is>
      </c>
      <c r="C208" s="2" t="inlineStr">
        <is>
          <t>Parastatal (oil)</t>
        </is>
      </c>
      <c r="D208" s="2" t="inlineStr">
        <is>
          <t>various</t>
        </is>
      </c>
      <c r="E208" s="2" t="n">
        <v>100</v>
      </c>
      <c r="F208" s="2" t="n">
        <v>2023</v>
      </c>
      <c r="G208" s="2" t="inlineStr">
        <is>
          <t>MZN</t>
        </is>
      </c>
      <c r="H208" s="2" t="inlineStr">
        <is>
          <t>Min. Finance</t>
        </is>
      </c>
      <c r="I208" s="2" t="inlineStr">
        <is>
          <t>Limited</t>
        </is>
      </c>
      <c r="J208" s="2" t="inlineStr">
        <is>
          <t>L</t>
        </is>
      </c>
      <c r="K208" s="2" t="inlineStr">
        <is>
          <t>AUM TBC.</t>
        </is>
      </c>
    </row>
    <row r="209" ht="15" customHeight="1" s="16">
      <c r="A209" s="2" t="inlineStr">
        <is>
          <t>Mozambique</t>
        </is>
      </c>
      <c r="B209" s="2" t="inlineStr">
        <is>
          <t>Banco de Moçambique Staff Pension</t>
        </is>
      </c>
      <c r="C209" s="2" t="inlineStr">
        <is>
          <t>Central bank</t>
        </is>
      </c>
      <c r="D209" s="2" t="inlineStr">
        <is>
          <t>various</t>
        </is>
      </c>
      <c r="E209" s="2" t="n">
        <v>80</v>
      </c>
      <c r="F209" s="2" t="n">
        <v>2023</v>
      </c>
      <c r="G209" s="2" t="inlineStr">
        <is>
          <t>MZN</t>
        </is>
      </c>
      <c r="H209" s="2" t="inlineStr">
        <is>
          <t>BM internal</t>
        </is>
      </c>
      <c r="I209" s="2" t="inlineStr">
        <is>
          <t>Limited</t>
        </is>
      </c>
      <c r="J209" s="2" t="inlineStr">
        <is>
          <t>L</t>
        </is>
      </c>
      <c r="K209" s="2" t="inlineStr">
        <is>
          <t>AUM TBC.</t>
        </is>
      </c>
    </row>
    <row r="210" ht="15" customHeight="1" s="16">
      <c r="A210" s="2" t="inlineStr">
        <is>
          <t>Eswatini</t>
        </is>
      </c>
      <c r="B210" s="2" t="inlineStr">
        <is>
          <t>Royal Eswatini Sugar Corporation Pension Fund</t>
        </is>
      </c>
      <c r="C210" s="2" t="inlineStr">
        <is>
          <t>Corporate (agribusiness)</t>
        </is>
      </c>
      <c r="D210" s="2" t="inlineStr">
        <is>
          <t>various</t>
        </is>
      </c>
      <c r="E210" s="2" t="n">
        <v>80</v>
      </c>
      <c r="F210" s="2" t="n">
        <v>2023</v>
      </c>
      <c r="G210" s="2" t="inlineStr">
        <is>
          <t>SZL</t>
        </is>
      </c>
      <c r="H210" s="2" t="inlineStr">
        <is>
          <t>FSRA</t>
        </is>
      </c>
      <c r="I210" s="2" t="inlineStr">
        <is>
          <t>Yes</t>
        </is>
      </c>
      <c r="J210" s="2" t="inlineStr">
        <is>
          <t>L</t>
        </is>
      </c>
      <c r="K210" s="2" t="inlineStr">
        <is>
          <t>AUM TBC.</t>
        </is>
      </c>
    </row>
    <row r="211" ht="15" customHeight="1" s="16">
      <c r="A211" s="2" t="inlineStr">
        <is>
          <t>Eswatini</t>
        </is>
      </c>
      <c r="B211" s="2" t="inlineStr">
        <is>
          <t>MTN Eswatini Pension Fund</t>
        </is>
      </c>
      <c r="C211" s="2" t="inlineStr">
        <is>
          <t>Corporate (telecoms)</t>
        </is>
      </c>
      <c r="D211" s="2" t="inlineStr">
        <is>
          <t>various</t>
        </is>
      </c>
      <c r="E211" s="2" t="n">
        <v>50</v>
      </c>
      <c r="F211" s="2" t="n">
        <v>2023</v>
      </c>
      <c r="G211" s="2" t="inlineStr">
        <is>
          <t>SZL</t>
        </is>
      </c>
      <c r="H211" s="2" t="inlineStr">
        <is>
          <t>FSRA</t>
        </is>
      </c>
      <c r="I211" s="2" t="inlineStr">
        <is>
          <t>Yes</t>
        </is>
      </c>
      <c r="J211" s="2" t="inlineStr">
        <is>
          <t>L</t>
        </is>
      </c>
      <c r="K211" s="2" t="inlineStr">
        <is>
          <t>AUM TBC.</t>
        </is>
      </c>
    </row>
    <row r="212" ht="15" customHeight="1" s="16">
      <c r="A212" s="2" t="inlineStr">
        <is>
          <t>Lesotho</t>
        </is>
      </c>
      <c r="B212" s="2" t="inlineStr">
        <is>
          <t>Lesotho Revenue Authority Staff Pension</t>
        </is>
      </c>
      <c r="C212" s="2" t="inlineStr">
        <is>
          <t>Parastatal</t>
        </is>
      </c>
      <c r="D212" s="2" t="inlineStr">
        <is>
          <t>various</t>
        </is>
      </c>
      <c r="E212" s="2" t="n">
        <v>60</v>
      </c>
      <c r="F212" s="2" t="n">
        <v>2023</v>
      </c>
      <c r="G212" s="2" t="inlineStr">
        <is>
          <t>LSL</t>
        </is>
      </c>
      <c r="H212" s="2" t="inlineStr">
        <is>
          <t>CBL</t>
        </is>
      </c>
      <c r="I212" s="2" t="inlineStr">
        <is>
          <t>Limited</t>
        </is>
      </c>
      <c r="J212" s="2" t="inlineStr">
        <is>
          <t>L</t>
        </is>
      </c>
      <c r="K212" s="2" t="inlineStr">
        <is>
          <t>AUM TBC.</t>
        </is>
      </c>
    </row>
    <row r="213" ht="15" customHeight="1" s="16">
      <c r="A213" s="2" t="inlineStr">
        <is>
          <t>Lesotho</t>
        </is>
      </c>
      <c r="B213" s="2" t="inlineStr">
        <is>
          <t>Standard Lesotho Bank Staff Pension</t>
        </is>
      </c>
      <c r="C213" s="2" t="inlineStr">
        <is>
          <t>Corporate (banking)</t>
        </is>
      </c>
      <c r="D213" s="2" t="inlineStr">
        <is>
          <t>various</t>
        </is>
      </c>
      <c r="E213" s="2" t="n">
        <v>40</v>
      </c>
      <c r="F213" s="2" t="n">
        <v>2023</v>
      </c>
      <c r="G213" s="2" t="inlineStr">
        <is>
          <t>LSL</t>
        </is>
      </c>
      <c r="H213" s="2" t="inlineStr">
        <is>
          <t>CBL</t>
        </is>
      </c>
      <c r="I213" s="2" t="inlineStr">
        <is>
          <t>Limited</t>
        </is>
      </c>
      <c r="J213" s="2" t="inlineStr">
        <is>
          <t>L</t>
        </is>
      </c>
      <c r="K213" s="2" t="inlineStr">
        <is>
          <t>AUM TBC.</t>
        </is>
      </c>
    </row>
    <row r="214" ht="15" customHeight="1" s="16">
      <c r="A214" s="2" t="inlineStr">
        <is>
          <t>Malawi</t>
        </is>
      </c>
      <c r="B214" s="2" t="inlineStr">
        <is>
          <t>ESCOM (Electricity Supply Commission) Pension Fund</t>
        </is>
      </c>
      <c r="C214" s="2" t="inlineStr">
        <is>
          <t>Parastatal (electricity)</t>
        </is>
      </c>
      <c r="D214" s="2" t="inlineStr">
        <is>
          <t>various</t>
        </is>
      </c>
      <c r="E214" s="2" t="n">
        <v>100</v>
      </c>
      <c r="F214" s="2" t="n">
        <v>2023</v>
      </c>
      <c r="G214" s="2" t="inlineStr">
        <is>
          <t>MWK</t>
        </is>
      </c>
      <c r="H214" s="2" t="inlineStr">
        <is>
          <t>RBM</t>
        </is>
      </c>
      <c r="I214" s="2" t="inlineStr">
        <is>
          <t>Yes</t>
        </is>
      </c>
      <c r="J214" s="2" t="inlineStr">
        <is>
          <t>L</t>
        </is>
      </c>
      <c r="K214" s="2" t="inlineStr">
        <is>
          <t>AUM TBC.</t>
        </is>
      </c>
    </row>
    <row r="215" ht="15" customHeight="1" s="16">
      <c r="A215" s="2" t="inlineStr">
        <is>
          <t>Malawi</t>
        </is>
      </c>
      <c r="B215" s="2" t="inlineStr">
        <is>
          <t>Press Trust Pension Scheme</t>
        </is>
      </c>
      <c r="C215" s="2" t="inlineStr">
        <is>
          <t>Corporate (industrial)</t>
        </is>
      </c>
      <c r="D215" s="2" t="inlineStr">
        <is>
          <t>various</t>
        </is>
      </c>
      <c r="E215" s="2" t="n">
        <v>120</v>
      </c>
      <c r="F215" s="2" t="n">
        <v>2023</v>
      </c>
      <c r="G215" s="2" t="inlineStr">
        <is>
          <t>MWK</t>
        </is>
      </c>
      <c r="H215" s="2" t="inlineStr">
        <is>
          <t>RBM</t>
        </is>
      </c>
      <c r="I215" s="2" t="inlineStr">
        <is>
          <t>Yes</t>
        </is>
      </c>
      <c r="J215" s="2" t="inlineStr">
        <is>
          <t>L</t>
        </is>
      </c>
      <c r="K215" s="2" t="inlineStr">
        <is>
          <t>AUM TBC.</t>
        </is>
      </c>
    </row>
    <row r="216" ht="15" customHeight="1" s="16">
      <c r="A216" s="2" t="inlineStr">
        <is>
          <t>Malawi</t>
        </is>
      </c>
      <c r="B216" s="2" t="inlineStr">
        <is>
          <t>National Bank of Malawi Staff Pension</t>
        </is>
      </c>
      <c r="C216" s="2" t="inlineStr">
        <is>
          <t>Corporate (banking)</t>
        </is>
      </c>
      <c r="D216" s="2" t="inlineStr">
        <is>
          <t>various</t>
        </is>
      </c>
      <c r="E216" s="2" t="n">
        <v>80</v>
      </c>
      <c r="F216" s="2" t="n">
        <v>2023</v>
      </c>
      <c r="G216" s="2" t="inlineStr">
        <is>
          <t>MWK</t>
        </is>
      </c>
      <c r="H216" s="2" t="inlineStr">
        <is>
          <t>RBM</t>
        </is>
      </c>
      <c r="I216" s="2" t="inlineStr">
        <is>
          <t>Yes</t>
        </is>
      </c>
      <c r="J216" s="2" t="inlineStr">
        <is>
          <t>L</t>
        </is>
      </c>
      <c r="K216" s="2" t="inlineStr">
        <is>
          <t>AUM TBC.</t>
        </is>
      </c>
    </row>
    <row r="217" ht="15" customHeight="1" s="16">
      <c r="A217" s="2" t="inlineStr">
        <is>
          <t>Rwanda</t>
        </is>
      </c>
      <c r="B217" s="2" t="inlineStr">
        <is>
          <t>BK Group (Bank of Kigali) Staff Pension</t>
        </is>
      </c>
      <c r="C217" s="2" t="inlineStr">
        <is>
          <t>Corporate (banking)</t>
        </is>
      </c>
      <c r="D217" s="2" t="inlineStr">
        <is>
          <t>various</t>
        </is>
      </c>
      <c r="E217" s="2" t="n">
        <v>50</v>
      </c>
      <c r="F217" s="2" t="n">
        <v>2023</v>
      </c>
      <c r="G217" s="2" t="inlineStr">
        <is>
          <t>RWF</t>
        </is>
      </c>
      <c r="H217" s="2" t="inlineStr">
        <is>
          <t>MINECOFIN / NBR</t>
        </is>
      </c>
      <c r="I217" s="2" t="inlineStr">
        <is>
          <t>Limited</t>
        </is>
      </c>
      <c r="J217" s="2" t="inlineStr">
        <is>
          <t>L</t>
        </is>
      </c>
      <c r="K217" s="2" t="inlineStr">
        <is>
          <t>AUM TBC.</t>
        </is>
      </c>
    </row>
    <row r="218" ht="15" customHeight="1" s="16">
      <c r="A218" s="2" t="inlineStr">
        <is>
          <t>Rwanda</t>
        </is>
      </c>
      <c r="B218" s="2" t="inlineStr">
        <is>
          <t>MTN Rwanda Staff Pension</t>
        </is>
      </c>
      <c r="C218" s="2" t="inlineStr">
        <is>
          <t>Corporate (telecoms)</t>
        </is>
      </c>
      <c r="D218" s="2" t="inlineStr">
        <is>
          <t>various</t>
        </is>
      </c>
      <c r="E218" s="2" t="n">
        <v>30</v>
      </c>
      <c r="F218" s="2" t="n">
        <v>2023</v>
      </c>
      <c r="G218" s="2" t="inlineStr">
        <is>
          <t>RWF</t>
        </is>
      </c>
      <c r="H218" s="2" t="inlineStr">
        <is>
          <t>MINECOFIN / NBR</t>
        </is>
      </c>
      <c r="I218" s="2" t="inlineStr">
        <is>
          <t>Limited</t>
        </is>
      </c>
      <c r="J218" s="2" t="inlineStr">
        <is>
          <t>L</t>
        </is>
      </c>
      <c r="K218" s="2" t="inlineStr">
        <is>
          <t>AUM TBC.</t>
        </is>
      </c>
    </row>
    <row r="219" ht="15" customHeight="1" s="16">
      <c r="A219" s="2" t="inlineStr">
        <is>
          <t>Sudan</t>
        </is>
      </c>
      <c r="B219" s="2" t="inlineStr">
        <is>
          <t>Public Service Pension Fund of Sudan</t>
        </is>
      </c>
      <c r="C219" s="2" t="inlineStr">
        <is>
          <t>Civil service</t>
        </is>
      </c>
      <c r="D219" s="2" t="inlineStr">
        <is>
          <t>various</t>
        </is>
      </c>
      <c r="E219" s="2" t="n">
        <v>200</v>
      </c>
      <c r="F219" s="2" t="n">
        <v>2022</v>
      </c>
      <c r="G219" s="2" t="inlineStr">
        <is>
          <t>SDG</t>
        </is>
      </c>
      <c r="H219" s="2" t="inlineStr">
        <is>
          <t>Min. Public Service</t>
        </is>
      </c>
      <c r="I219" s="2" t="inlineStr">
        <is>
          <t>Very limited</t>
        </is>
      </c>
      <c r="J219" s="2" t="inlineStr">
        <is>
          <t>L</t>
        </is>
      </c>
      <c r="K219" s="2" t="inlineStr">
        <is>
          <t>AUM TBC; conflict affects disclosure.</t>
        </is>
      </c>
    </row>
    <row r="220" ht="23.25" customHeight="1" s="16">
      <c r="A220" s="2" t="inlineStr">
        <is>
          <t>DR Congo</t>
        </is>
      </c>
      <c r="B220" s="2" t="inlineStr">
        <is>
          <t>Caisse Nationale de Sécurité Sociale des Agents Publics de l'État (CNSSAP)</t>
        </is>
      </c>
      <c r="C220" s="2" t="inlineStr">
        <is>
          <t>Civil service</t>
        </is>
      </c>
      <c r="D220" s="2" t="n">
        <v>2018</v>
      </c>
      <c r="E220" s="2" t="n">
        <v>250</v>
      </c>
      <c r="F220" s="2" t="n">
        <v>2023</v>
      </c>
      <c r="G220" s="2" t="inlineStr">
        <is>
          <t>USD</t>
        </is>
      </c>
      <c r="H220" s="2" t="inlineStr">
        <is>
          <t>Min. Civil Service</t>
        </is>
      </c>
      <c r="I220" s="2" t="inlineStr">
        <is>
          <t>Limited</t>
        </is>
      </c>
      <c r="J220" s="2" t="inlineStr">
        <is>
          <t>L</t>
        </is>
      </c>
      <c r="K220" s="2" t="inlineStr">
        <is>
          <t>Civil-service equivalent of CNSS; AUM TBC.</t>
        </is>
      </c>
    </row>
    <row r="221" ht="23.25" customHeight="1" s="16">
      <c r="A221" s="2" t="inlineStr">
        <is>
          <t>Gabon</t>
        </is>
      </c>
      <c r="B221" s="2" t="inlineStr">
        <is>
          <t>Caisse Nationale d'Assurance Maladie et de Garantie Sociale (CNAMGS)</t>
        </is>
      </c>
      <c r="C221" s="2" t="inlineStr">
        <is>
          <t>Health + social benefits</t>
        </is>
      </c>
      <c r="D221" s="2" t="n">
        <v>2007</v>
      </c>
      <c r="E221" s="2" t="n">
        <v>300</v>
      </c>
      <c r="F221" s="2" t="n">
        <v>2023</v>
      </c>
      <c r="G221" s="2" t="inlineStr">
        <is>
          <t>XAF</t>
        </is>
      </c>
      <c r="H221" s="2" t="inlineStr">
        <is>
          <t>CIPRES</t>
        </is>
      </c>
      <c r="I221" s="2" t="inlineStr">
        <is>
          <t>Limited</t>
        </is>
      </c>
      <c r="J221" s="2" t="inlineStr">
        <is>
          <t>L</t>
        </is>
      </c>
      <c r="K221" s="2" t="inlineStr">
        <is>
          <t>Primarily health insurance; included for completeness.</t>
        </is>
      </c>
    </row>
    <row r="222" ht="23.25" customHeight="1" s="16">
      <c r="A222" s="2" t="inlineStr">
        <is>
          <t>Senegal</t>
        </is>
      </c>
      <c r="B222" s="2" t="inlineStr">
        <is>
          <t>Régime de Retraite Complémentaire (managed by insurers)</t>
        </is>
      </c>
      <c r="C222" s="2" t="inlineStr">
        <is>
          <t>Complementary occupational</t>
        </is>
      </c>
      <c r="D222" s="2" t="inlineStr">
        <is>
          <t>various</t>
        </is>
      </c>
      <c r="E222" s="2" t="n">
        <v>200</v>
      </c>
      <c r="F222" s="2" t="n">
        <v>2023</v>
      </c>
      <c r="G222" s="2" t="inlineStr">
        <is>
          <t>XOF</t>
        </is>
      </c>
      <c r="H222" s="2" t="inlineStr">
        <is>
          <t>ACAPS / CIPRES</t>
        </is>
      </c>
      <c r="I222" s="2" t="inlineStr">
        <is>
          <t>Limited</t>
        </is>
      </c>
      <c r="J222" s="2" t="inlineStr">
        <is>
          <t>L</t>
        </is>
      </c>
      <c r="K222" s="2" t="inlineStr">
        <is>
          <t>Voluntary supplementary regime.</t>
        </is>
      </c>
    </row>
    <row r="223" ht="15" customHeight="1" s="16">
      <c r="A223" s="2" t="inlineStr">
        <is>
          <t>Côte d'Ivoire</t>
        </is>
      </c>
      <c r="B223" s="2" t="inlineStr">
        <is>
          <t>Régime de Retraite Complémentaire des Salariés (RRCS)</t>
        </is>
      </c>
      <c r="C223" s="2" t="inlineStr">
        <is>
          <t>Complementary occupational</t>
        </is>
      </c>
      <c r="D223" s="2" t="inlineStr">
        <is>
          <t>various</t>
        </is>
      </c>
      <c r="E223" s="2" t="n">
        <v>250</v>
      </c>
      <c r="F223" s="2" t="n">
        <v>2023</v>
      </c>
      <c r="G223" s="2" t="inlineStr">
        <is>
          <t>XOF</t>
        </is>
      </c>
      <c r="H223" s="2" t="inlineStr">
        <is>
          <t>ACAPS / CIPRES</t>
        </is>
      </c>
      <c r="I223" s="2" t="inlineStr">
        <is>
          <t>Limited</t>
        </is>
      </c>
      <c r="J223" s="2" t="inlineStr">
        <is>
          <t>L</t>
        </is>
      </c>
      <c r="K223" s="2" t="inlineStr">
        <is>
          <t>AUM TBC.</t>
        </is>
      </c>
    </row>
    <row r="224" ht="23.25" customHeight="1" s="16">
      <c r="A224" s="2" t="inlineStr">
        <is>
          <t>Tunisia</t>
        </is>
      </c>
      <c r="B224" s="2" t="inlineStr">
        <is>
          <t>Régime Complémentaire (managed by Tunisian insurers, e.g., STAR, COMAR)</t>
        </is>
      </c>
      <c r="C224" s="2" t="inlineStr">
        <is>
          <t>Complementary occupational</t>
        </is>
      </c>
      <c r="D224" s="2" t="inlineStr">
        <is>
          <t>various</t>
        </is>
      </c>
      <c r="E224" s="2" t="n">
        <v>300</v>
      </c>
      <c r="F224" s="2" t="n">
        <v>2023</v>
      </c>
      <c r="G224" s="2" t="inlineStr">
        <is>
          <t>TND</t>
        </is>
      </c>
      <c r="H224" s="2" t="inlineStr">
        <is>
          <t>CGA / Min. Social Affairs</t>
        </is>
      </c>
      <c r="I224" s="2" t="inlineStr">
        <is>
          <t>Limited</t>
        </is>
      </c>
      <c r="J224" s="2" t="inlineStr">
        <is>
          <t>L</t>
        </is>
      </c>
      <c r="K224" s="2" t="inlineStr">
        <is>
          <t>AUM TBC; voluntary supplementary regime.</t>
        </is>
      </c>
    </row>
    <row r="225" ht="23.25" customHeight="1" s="16">
      <c r="A225" s="2" t="inlineStr">
        <is>
          <t>Morocco</t>
        </is>
      </c>
      <c r="B225" s="2" t="inlineStr">
        <is>
          <t>CNRA (Caisse Nationale de Retraites et d'Assurances, managed by CDG)</t>
        </is>
      </c>
      <c r="C225" s="2" t="inlineStr">
        <is>
          <t>Insurance-based retirement</t>
        </is>
      </c>
      <c r="D225" s="2" t="n">
        <v>1944</v>
      </c>
      <c r="E225" s="2" t="n">
        <v>4000</v>
      </c>
      <c r="F225" s="2" t="n">
        <v>2024</v>
      </c>
      <c r="G225" s="2" t="inlineStr">
        <is>
          <t>MAD</t>
        </is>
      </c>
      <c r="H225" s="2" t="inlineStr">
        <is>
          <t>ACAPS</t>
        </is>
      </c>
      <c r="I225" s="2" t="inlineStr">
        <is>
          <t>Yes</t>
        </is>
      </c>
      <c r="J225" s="2" t="inlineStr">
        <is>
          <t>M</t>
        </is>
      </c>
      <c r="K225" s="2" t="inlineStr">
        <is>
          <t>Manages individual retirement contracts and SOE retirement payments; subsidiary of CDG.</t>
        </is>
      </c>
    </row>
    <row r="226" ht="15" customHeight="1" s="16">
      <c r="A226" s="2" t="inlineStr">
        <is>
          <t>Morocco</t>
        </is>
      </c>
      <c r="B226" s="2" t="inlineStr">
        <is>
          <t>AlAmane Capital / smaller corporate retirement contracts</t>
        </is>
      </c>
      <c r="C226" s="2" t="inlineStr">
        <is>
          <t>Corporate</t>
        </is>
      </c>
      <c r="D226" s="2" t="inlineStr">
        <is>
          <t>various</t>
        </is>
      </c>
      <c r="E226" s="2" t="n">
        <v>500</v>
      </c>
      <c r="F226" s="2" t="n">
        <v>2023</v>
      </c>
      <c r="G226" s="2" t="inlineStr">
        <is>
          <t>MAD</t>
        </is>
      </c>
      <c r="H226" s="2" t="inlineStr">
        <is>
          <t>ACAPS</t>
        </is>
      </c>
      <c r="I226" s="2" t="inlineStr">
        <is>
          <t>Limited</t>
        </is>
      </c>
      <c r="J226" s="2" t="inlineStr">
        <is>
          <t>L</t>
        </is>
      </c>
      <c r="K226" s="2" t="inlineStr">
        <is>
          <t>AUM TBC; aggregation of smaller corporate retirement plans.</t>
        </is>
      </c>
    </row>
    <row r="227" ht="15" customHeight="1" s="16">
      <c r="A227" s="2" t="inlineStr">
        <is>
          <t>Ethiopia</t>
        </is>
      </c>
      <c r="B227" s="2" t="inlineStr">
        <is>
          <t>Commercial Bank of Ethiopia (CBE) Staff Pension</t>
        </is>
      </c>
      <c r="C227" s="2" t="inlineStr">
        <is>
          <t>Parastatal (banking)</t>
        </is>
      </c>
      <c r="D227" s="2" t="inlineStr">
        <is>
          <t>various</t>
        </is>
      </c>
      <c r="E227" s="2" t="n">
        <v>250</v>
      </c>
      <c r="F227" s="2" t="n">
        <v>2023</v>
      </c>
      <c r="G227" s="2" t="inlineStr">
        <is>
          <t>ETB</t>
        </is>
      </c>
      <c r="H227" s="2" t="inlineStr">
        <is>
          <t>MoF</t>
        </is>
      </c>
      <c r="I227" s="2" t="inlineStr">
        <is>
          <t>Limited</t>
        </is>
      </c>
      <c r="J227" s="2" t="inlineStr">
        <is>
          <t>L</t>
        </is>
      </c>
      <c r="K227" s="2" t="inlineStr">
        <is>
          <t>AUM TBC; largest bank in Ethiopia.</t>
        </is>
      </c>
    </row>
    <row r="228" ht="15" customHeight="1" s="16">
      <c r="A228" s="2" t="inlineStr">
        <is>
          <t>Ethiopia</t>
        </is>
      </c>
      <c r="B228" s="2" t="inlineStr">
        <is>
          <t>Ethio Telecom Staff Pension</t>
        </is>
      </c>
      <c r="C228" s="2" t="inlineStr">
        <is>
          <t>Parastatal (telecoms)</t>
        </is>
      </c>
      <c r="D228" s="2" t="inlineStr">
        <is>
          <t>various</t>
        </is>
      </c>
      <c r="E228" s="2" t="n">
        <v>200</v>
      </c>
      <c r="F228" s="2" t="n">
        <v>2023</v>
      </c>
      <c r="G228" s="2" t="inlineStr">
        <is>
          <t>ETB</t>
        </is>
      </c>
      <c r="H228" s="2" t="inlineStr">
        <is>
          <t>MoF</t>
        </is>
      </c>
      <c r="I228" s="2" t="inlineStr">
        <is>
          <t>Limited</t>
        </is>
      </c>
      <c r="J228" s="2" t="inlineStr">
        <is>
          <t>L</t>
        </is>
      </c>
      <c r="K228" s="2" t="inlineStr">
        <is>
          <t>AUM TBC.</t>
        </is>
      </c>
    </row>
    <row r="229" ht="34.5" customHeight="1" s="16">
      <c r="A229" s="2" t="inlineStr">
        <is>
          <t>Gabon</t>
        </is>
      </c>
      <c r="B229" s="2" t="inlineStr">
        <is>
          <t>CDC Gabon (Caisse de Dépôts et de Consignations du Gabon)</t>
        </is>
      </c>
      <c r="C229" s="2" t="inlineStr">
        <is>
          <t>State deposit / pension institution</t>
        </is>
      </c>
      <c r="D229" s="2" t="inlineStr">
        <is>
          <t>2010</t>
        </is>
      </c>
      <c r="E229" s="2" t="n">
        <v>400</v>
      </c>
      <c r="F229" s="2" t="n">
        <v>2024</v>
      </c>
      <c r="G229" s="2" t="inlineStr">
        <is>
          <t>XAF/USD</t>
        </is>
      </c>
      <c r="H229" s="2" t="inlineStr">
        <is>
          <t>Min. Finance Gabon</t>
        </is>
      </c>
      <c r="I229" s="2" t="inlineStr">
        <is>
          <t>Limited</t>
        </is>
      </c>
      <c r="J229" s="2" t="inlineStr">
        <is>
          <t>M</t>
        </is>
      </c>
      <c r="K229" s="2" t="inlineStr">
        <is>
          <t>Newly identified via AFC shareholder roster. Distinct from CNSS Gabon and FGIS; manages state deposit and pension functions per Caisse des Dépôts model. AUM estimated.</t>
        </is>
      </c>
    </row>
    <row r="230" ht="57" customHeight="1" s="16">
      <c r="A230" s="2" t="inlineStr">
        <is>
          <t>South Africa</t>
        </is>
      </c>
      <c r="B230" s="2" t="inlineStr">
        <is>
          <t>Asset Owners Forum of South Africa (AOFSA) — consortium</t>
        </is>
      </c>
      <c r="C230" s="2" t="inlineStr">
        <is>
          <t>Pension consortium (15 funds)</t>
        </is>
      </c>
      <c r="D230" s="2" t="n">
        <v>2021</v>
      </c>
      <c r="E230" s="2" t="n">
        <v>200000</v>
      </c>
      <c r="F230" s="2" t="n">
        <v>2024</v>
      </c>
      <c r="G230" s="2" t="inlineStr">
        <is>
          <t>ZAR</t>
        </is>
      </c>
      <c r="H230" s="2" t="inlineStr">
        <is>
          <t>FSCA / Batseta Council</t>
        </is>
      </c>
      <c r="I230" s="2" t="inlineStr">
        <is>
          <t>Yes</t>
        </is>
      </c>
      <c r="J230" s="2" t="inlineStr">
        <is>
          <t>H</t>
        </is>
      </c>
      <c r="K230" s="2" t="inlineStr">
        <is>
          <t>First-of-its-kind SA pension consortium. 12-15 founding members from top 20 SA pension funds. R3tn (~USD 200bn) aggregate AUM. Target R3.75bn (USD 250m) infra deployment over 5 years — EXCEEDED in first year. Modelled on KEPFIC (Kenya). Batseta secretariat; USAID + MiDA + World Bank technical support.</t>
        </is>
      </c>
    </row>
  </sheetData>
  <autoFilter ref="A1:K230"/>
  <conditionalFormatting sqref="J2:J228">
    <cfRule type="cellIs" priority="2" operator="equal" dxfId="2">
      <formula>"H"</formula>
    </cfRule>
    <cfRule type="cellIs" priority="3" operator="equal" dxfId="1">
      <formula>"M"</formula>
    </cfRule>
    <cfRule type="cellIs" priority="4" operator="equal" dxfId="0">
      <formula>"L"</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51"/>
  <sheetViews>
    <sheetView zoomScaleNormal="100" workbookViewId="0">
      <pane ySplit="3" topLeftCell="A4" activePane="bottomLeft" state="frozen"/>
      <selection pane="bottomLeft" activeCell="A1" sqref="A1:G1"/>
    </sheetView>
  </sheetViews>
  <sheetFormatPr baseColWidth="8" defaultColWidth="8.7109375" defaultRowHeight="15"/>
  <cols>
    <col width="16" customWidth="1" style="16" min="1" max="1"/>
    <col width="38" customWidth="1" style="16" min="2" max="2"/>
    <col width="24" customWidth="1" style="16" min="3" max="3"/>
    <col width="16" customWidth="1" style="16" min="4" max="4"/>
    <col width="12" customWidth="1" style="16" min="5" max="5"/>
    <col width="36" customWidth="1" style="16" min="6" max="6"/>
    <col width="60" customWidth="1" style="16" min="7" max="7"/>
  </cols>
  <sheetData>
    <row r="1" ht="31.5" customHeight="1" s="16">
      <c r="A1" s="15" t="inlineStr">
        <is>
          <t>Tier 1 deep-dive candidates — institutions with AUM ≥ USD 2bn where alts-evidence collection should be exhaustive. These represent the bulk of African institutional capital that could realistically deploy to alts.</t>
        </is>
      </c>
    </row>
    <row r="3" ht="23.25" customHeight="1" s="16">
      <c r="A3" s="1" t="inlineStr">
        <is>
          <t>Country</t>
        </is>
      </c>
      <c r="B3" s="1" t="inlineStr">
        <is>
          <t>Institution</t>
        </is>
      </c>
      <c r="C3" s="1" t="inlineStr">
        <is>
          <t>Type</t>
        </is>
      </c>
      <c r="D3" s="1" t="inlineStr">
        <is>
          <t>AUM (USD m, approx)</t>
        </is>
      </c>
      <c r="E3" s="1" t="inlineStr">
        <is>
          <t>As-of year</t>
        </is>
      </c>
      <c r="F3" s="1" t="inlineStr">
        <is>
          <t>Why prioritised</t>
        </is>
      </c>
      <c r="G3" s="1" t="inlineStr">
        <is>
          <t>Known/expected African alts evidence</t>
        </is>
      </c>
    </row>
    <row r="4" ht="23.25" customHeight="1" s="16">
      <c r="A4" s="2" t="inlineStr">
        <is>
          <t>South Africa</t>
        </is>
      </c>
      <c r="B4" s="2" t="inlineStr">
        <is>
          <t>GEPF (managed by PIC)</t>
        </is>
      </c>
      <c r="C4" s="2" t="inlineStr">
        <is>
          <t>Public PF (DB)</t>
        </is>
      </c>
      <c r="D4" s="2" t="n">
        <v>125000</v>
      </c>
      <c r="E4" s="2" t="n">
        <v>2024</v>
      </c>
      <c r="F4" s="2" t="inlineStr">
        <is>
          <t>By far the largest African pension pool</t>
        </is>
      </c>
      <c r="G4" s="2" t="inlineStr">
        <is>
          <t>Disclosed PE/infra exposure including Africa-ex-SA via PIC's Isibaya programme; LP in DPI, Helios, others (historical).</t>
        </is>
      </c>
    </row>
    <row r="5" ht="23.25" customHeight="1" s="16">
      <c r="A5" s="2" t="inlineStr">
        <is>
          <t>Egypt</t>
        </is>
      </c>
      <c r="B5" s="2" t="inlineStr">
        <is>
          <t>NOSI / NSSA</t>
        </is>
      </c>
      <c r="C5" s="2" t="inlineStr">
        <is>
          <t>Public PF (consolidated)</t>
        </is>
      </c>
      <c r="D5" s="2" t="n">
        <v>110000</v>
      </c>
      <c r="E5" s="2" t="n">
        <v>2024</v>
      </c>
      <c r="F5" s="2" t="inlineStr">
        <is>
          <t>Largest in North Africa by AUM</t>
        </is>
      </c>
      <c r="G5" s="2" t="inlineStr">
        <is>
          <t>Predominantly EGP government securities; Africa alts exposure historically minimal but worth verifying post-2019 reforms.</t>
        </is>
      </c>
    </row>
    <row r="6" ht="23.25" customHeight="1" s="16">
      <c r="A6" s="2" t="inlineStr">
        <is>
          <t>Libya</t>
        </is>
      </c>
      <c r="B6" s="2" t="inlineStr">
        <is>
          <t>Libyan Investment Authority</t>
        </is>
      </c>
      <c r="C6" s="2" t="inlineStr">
        <is>
          <t>SWF</t>
        </is>
      </c>
      <c r="D6" s="2" t="n">
        <v>67000</v>
      </c>
      <c r="E6" s="2" t="n">
        <v>2023</v>
      </c>
      <c r="F6" s="2" t="inlineStr">
        <is>
          <t>Largest African SWF by stated AUM</t>
        </is>
      </c>
      <c r="G6" s="2" t="inlineStr">
        <is>
          <t>Mostly frozen since 2011; Pre-2011 had direct African stakes (banking, telecoms) — investigate legacy holdings.</t>
        </is>
      </c>
    </row>
    <row r="7" ht="23.25" customHeight="1" s="16">
      <c r="A7" s="2" t="inlineStr">
        <is>
          <t>Ethiopia</t>
        </is>
      </c>
      <c r="B7" s="2" t="inlineStr">
        <is>
          <t>Ethiopian Investment Holdings (EIH)</t>
        </is>
      </c>
      <c r="C7" s="2" t="inlineStr">
        <is>
          <t>Strategic SWF (SOE holding)</t>
        </is>
      </c>
      <c r="D7" s="2" t="n">
        <v>38000</v>
      </c>
      <c r="E7" s="2" t="n">
        <v>2024</v>
      </c>
      <c r="F7" s="2" t="inlineStr">
        <is>
          <t>Largest SoE consolidator</t>
        </is>
      </c>
      <c r="G7" s="2" t="inlineStr">
        <is>
          <t>AUM is book value of SOE stakes; not a traditional LP. Verify any third-party fund commitments.</t>
        </is>
      </c>
    </row>
    <row r="8" ht="15" customHeight="1" s="16">
      <c r="A8" s="2" t="inlineStr">
        <is>
          <t>Egypt</t>
        </is>
      </c>
      <c r="B8" s="2" t="inlineStr">
        <is>
          <t>NIB legacy pension assets</t>
        </is>
      </c>
      <c r="C8" s="2" t="inlineStr">
        <is>
          <t>Sovereign deposit</t>
        </is>
      </c>
      <c r="D8" s="2" t="n">
        <v>30000</v>
      </c>
      <c r="E8" s="2" t="n">
        <v>2023</v>
      </c>
      <c r="F8" s="2" t="inlineStr">
        <is>
          <t>Historic pension surplus pool</t>
        </is>
      </c>
      <c r="G8" s="2" t="inlineStr">
        <is>
          <t>Structure under reform; verify current asset mix.</t>
        </is>
      </c>
    </row>
    <row r="9" ht="23.25" customHeight="1" s="16">
      <c r="A9" s="2" t="inlineStr">
        <is>
          <t>Morocco</t>
        </is>
      </c>
      <c r="B9" s="2" t="inlineStr">
        <is>
          <t>Caisse de Dépôt et de Gestion (CDG)</t>
        </is>
      </c>
      <c r="C9" s="2" t="inlineStr">
        <is>
          <t>Sovereign + pension manager</t>
        </is>
      </c>
      <c r="D9" s="2" t="n">
        <v>28000</v>
      </c>
      <c r="E9" s="2" t="n">
        <v>2024</v>
      </c>
      <c r="F9" s="2" t="inlineStr">
        <is>
          <t>Largest French-speaking Africa allocator</t>
        </is>
      </c>
      <c r="G9" s="2" t="inlineStr">
        <is>
          <t>Confirmed LP in pan-African and Moroccan PE/infra (CDG Capital, Mediterrania Capital, AfricInvest funds).</t>
        </is>
      </c>
    </row>
    <row r="10" ht="15" customHeight="1" s="16">
      <c r="A10" s="2" t="inlineStr">
        <is>
          <t>Morocco</t>
        </is>
      </c>
      <c r="B10" s="2" t="inlineStr">
        <is>
          <t>CMR</t>
        </is>
      </c>
      <c r="C10" s="2" t="inlineStr">
        <is>
          <t>Civil-service PF</t>
        </is>
      </c>
      <c r="D10" s="2" t="n">
        <v>14500</v>
      </c>
      <c r="E10" s="2" t="n">
        <v>2024</v>
      </c>
      <c r="F10" s="2" t="inlineStr">
        <is>
          <t>Large Moroccan pension allocator</t>
        </is>
      </c>
      <c r="G10" s="2" t="inlineStr">
        <is>
          <t>Verify alts mandate; recent reform allowing higher alts limit.</t>
        </is>
      </c>
    </row>
    <row r="11" ht="15" customHeight="1" s="16">
      <c r="A11" s="2" t="inlineStr">
        <is>
          <t>Morocco</t>
        </is>
      </c>
      <c r="B11" s="2" t="inlineStr">
        <is>
          <t>RCAR (CDG-managed)</t>
        </is>
      </c>
      <c r="C11" s="2" t="inlineStr">
        <is>
          <t>Parastatal PF</t>
        </is>
      </c>
      <c r="D11" s="2" t="n">
        <v>13000</v>
      </c>
      <c r="E11" s="2" t="n">
        <v>2024</v>
      </c>
      <c r="F11" s="2" t="inlineStr">
        <is>
          <t>Large allocator under CDG</t>
        </is>
      </c>
      <c r="G11" s="2" t="inlineStr">
        <is>
          <t>Alts exposure via CDG Capital infrastructure and PE funds.</t>
        </is>
      </c>
    </row>
    <row r="12" ht="23.25" customHeight="1" s="16">
      <c r="A12" s="2" t="inlineStr">
        <is>
          <t>Egypt</t>
        </is>
      </c>
      <c r="B12" s="2" t="inlineStr">
        <is>
          <t>The Sovereign Fund of Egypt (TSFE)</t>
        </is>
      </c>
      <c r="C12" s="2" t="inlineStr">
        <is>
          <t>SWF (strategic)</t>
        </is>
      </c>
      <c r="D12" s="2" t="n">
        <v>2500</v>
      </c>
      <c r="E12" s="2" t="n">
        <v>2024</v>
      </c>
      <c r="F12" s="2" t="inlineStr">
        <is>
          <t>Active strategic investor</t>
        </is>
      </c>
      <c r="G12" s="2" t="inlineStr">
        <is>
          <t>Joint platforms with ADQ, PIF; co-investments in renewables, healthcare, fintech.</t>
        </is>
      </c>
    </row>
    <row r="13" ht="23.25" customHeight="1" s="16">
      <c r="A13" s="2" t="inlineStr">
        <is>
          <t>Namibia</t>
        </is>
      </c>
      <c r="B13" s="2" t="inlineStr">
        <is>
          <t>GIPF</t>
        </is>
      </c>
      <c r="C13" s="2" t="inlineStr">
        <is>
          <t>Public PF (DB)</t>
        </is>
      </c>
      <c r="D13" s="2" t="n">
        <v>9500</v>
      </c>
      <c r="E13" s="2" t="n">
        <v>2024</v>
      </c>
      <c r="F13" s="2" t="inlineStr">
        <is>
          <t>Among most alts-active African PFs</t>
        </is>
      </c>
      <c r="G13" s="2" t="inlineStr">
        <is>
          <t>Mandatory unlisted-investment programme; ~10% to local SME/PE managers (Stimulus, Sanlam, Eos).</t>
        </is>
      </c>
    </row>
    <row r="14" ht="15" customHeight="1" s="16">
      <c r="A14" s="2" t="inlineStr">
        <is>
          <t>Libya</t>
        </is>
      </c>
      <c r="B14" s="2" t="inlineStr">
        <is>
          <t>Social Security Fund of Libya</t>
        </is>
      </c>
      <c r="C14" s="2" t="inlineStr">
        <is>
          <t>Public PF</t>
        </is>
      </c>
      <c r="D14" s="2" t="n">
        <v>9000</v>
      </c>
      <c r="E14" s="2" t="n">
        <v>2023</v>
      </c>
      <c r="F14" s="2" t="inlineStr">
        <is>
          <t>Large but mostly domestic</t>
        </is>
      </c>
      <c r="G14" s="2" t="inlineStr">
        <is>
          <t>Limited alts beyond domestic bank deposits and real estate.</t>
        </is>
      </c>
    </row>
    <row r="15" ht="15" customHeight="1" s="16">
      <c r="A15" s="2" t="inlineStr">
        <is>
          <t>Morocco</t>
        </is>
      </c>
      <c r="B15" s="2" t="inlineStr">
        <is>
          <t>CNSS Morocco</t>
        </is>
      </c>
      <c r="C15" s="2" t="inlineStr">
        <is>
          <t>Public PF</t>
        </is>
      </c>
      <c r="D15" s="2" t="n">
        <v>8500</v>
      </c>
      <c r="E15" s="2" t="n">
        <v>2024</v>
      </c>
      <c r="F15" s="2" t="inlineStr">
        <is>
          <t>Large allocator</t>
        </is>
      </c>
      <c r="G15" s="2" t="inlineStr">
        <is>
          <t>Verify recent allocations under post-2020 reform.</t>
        </is>
      </c>
    </row>
    <row r="16" ht="15" customHeight="1" s="16">
      <c r="A16" s="2" t="inlineStr">
        <is>
          <t>Morocco</t>
        </is>
      </c>
      <c r="B16" s="2" t="inlineStr">
        <is>
          <t>CIMR</t>
        </is>
      </c>
      <c r="C16" s="2" t="inlineStr">
        <is>
          <t>Private complementary PF</t>
        </is>
      </c>
      <c r="D16" s="2" t="n">
        <v>8500</v>
      </c>
      <c r="E16" s="2" t="n">
        <v>2024</v>
      </c>
      <c r="F16" s="2" t="inlineStr">
        <is>
          <t>Active in Moroccan capital markets</t>
        </is>
      </c>
      <c r="G16" s="2" t="inlineStr">
        <is>
          <t>Verify Africa-alts exposure; primarily Moroccan.</t>
        </is>
      </c>
    </row>
    <row r="17" ht="23.25" customHeight="1" s="16">
      <c r="A17" s="2" t="inlineStr">
        <is>
          <t>Botswana</t>
        </is>
      </c>
      <c r="B17" s="2" t="inlineStr">
        <is>
          <t>Botswana Public Officers Pension Fund (BPOPF)</t>
        </is>
      </c>
      <c r="C17" s="2" t="inlineStr">
        <is>
          <t>Public PF</t>
        </is>
      </c>
      <c r="D17" s="2" t="n">
        <v>7500</v>
      </c>
      <c r="E17" s="2" t="n">
        <v>2024</v>
      </c>
      <c r="F17" s="2" t="inlineStr">
        <is>
          <t>Active alts allocator</t>
        </is>
      </c>
      <c r="G17" s="2" t="inlineStr">
        <is>
          <t>Has used mandates for African private equity (e.g., RMB, Vantage, local SA managers).</t>
        </is>
      </c>
    </row>
    <row r="18" ht="15" customHeight="1" s="16">
      <c r="A18" s="2" t="inlineStr">
        <is>
          <t>Tanzania</t>
        </is>
      </c>
      <c r="B18" s="2" t="inlineStr">
        <is>
          <t>PSSSF</t>
        </is>
      </c>
      <c r="C18" s="2" t="inlineStr">
        <is>
          <t>Consolidated public PF</t>
        </is>
      </c>
      <c r="D18" s="2" t="n">
        <v>6000</v>
      </c>
      <c r="E18" s="2" t="n">
        <v>2024</v>
      </c>
      <c r="F18" s="2" t="inlineStr">
        <is>
          <t>Largest Tanzanian PF</t>
        </is>
      </c>
      <c r="G18" s="2" t="inlineStr">
        <is>
          <t>Historically conservative; verify any alts commitments.</t>
        </is>
      </c>
    </row>
    <row r="19" ht="23.25" customHeight="1" s="16">
      <c r="A19" s="2" t="inlineStr">
        <is>
          <t>Uganda</t>
        </is>
      </c>
      <c r="B19" s="2" t="inlineStr">
        <is>
          <t>NSSF Uganda</t>
        </is>
      </c>
      <c r="C19" s="2" t="inlineStr">
        <is>
          <t>Public PF</t>
        </is>
      </c>
      <c r="D19" s="2" t="n">
        <v>5800</v>
      </c>
      <c r="E19" s="2" t="n">
        <v>2024</v>
      </c>
      <c r="F19" s="2" t="inlineStr">
        <is>
          <t>Active alts allocator, public LP commitments</t>
        </is>
      </c>
      <c r="G19" s="2" t="inlineStr">
        <is>
          <t>Disclosed commitments to PE/VC funds (Catalyst Fund II historically, etc.); verify current.</t>
        </is>
      </c>
    </row>
    <row r="20" ht="15" customHeight="1" s="16">
      <c r="A20" s="2" t="inlineStr">
        <is>
          <t>Sentinel</t>
        </is>
      </c>
      <c r="B20" s="2" t="inlineStr">
        <is>
          <t>Sentinel Retirement Fund (SA)</t>
        </is>
      </c>
      <c r="C20" s="2" t="inlineStr">
        <is>
          <t>Multi-employer PF</t>
        </is>
      </c>
      <c r="D20" s="2" t="n">
        <v>6000</v>
      </c>
      <c r="E20" s="2" t="n">
        <v>2024</v>
      </c>
      <c r="F20" s="2" t="inlineStr">
        <is>
          <t>Major SA mining-industry fund</t>
        </is>
      </c>
      <c r="G20" s="2" t="inlineStr">
        <is>
          <t>Uses alts mandate managers (Old Mutual Alternative Investments, etc.).</t>
        </is>
      </c>
    </row>
    <row r="21" ht="15" customHeight="1" s="16">
      <c r="A21" s="2" t="inlineStr">
        <is>
          <t>South Africa</t>
        </is>
      </c>
      <c r="B21" s="2" t="inlineStr">
        <is>
          <t>Transnet Retirement Fund</t>
        </is>
      </c>
      <c r="C21" s="2" t="inlineStr">
        <is>
          <t>Parastatal PF</t>
        </is>
      </c>
      <c r="D21" s="2" t="n">
        <v>5500</v>
      </c>
      <c r="E21" s="2" t="n">
        <v>2024</v>
      </c>
      <c r="F21" s="2" t="inlineStr">
        <is>
          <t>Major SA parastatal pool</t>
        </is>
      </c>
      <c r="G21" s="2" t="inlineStr">
        <is>
          <t>PIC and external alts managers.</t>
        </is>
      </c>
    </row>
    <row r="22" ht="23.25" customHeight="1" s="16">
      <c r="A22" s="2" t="inlineStr">
        <is>
          <t>Botswana</t>
        </is>
      </c>
      <c r="B22" s="2" t="inlineStr">
        <is>
          <t>Pula Fund</t>
        </is>
      </c>
      <c r="C22" s="2" t="inlineStr">
        <is>
          <t>SWF (savings)</t>
        </is>
      </c>
      <c r="D22" s="2" t="n">
        <v>5000</v>
      </c>
      <c r="E22" s="2" t="n">
        <v>2024</v>
      </c>
      <c r="F22" s="2" t="inlineStr">
        <is>
          <t>Africa's longest-running savings SWF</t>
        </is>
      </c>
      <c r="G22" s="2" t="inlineStr">
        <is>
          <t>Predominantly global fixed income and equities; minimal Africa-alts exposure.</t>
        </is>
      </c>
    </row>
    <row r="23" ht="15" customHeight="1" s="16">
      <c r="A23" s="2" t="inlineStr">
        <is>
          <t>South Africa</t>
        </is>
      </c>
      <c r="B23" s="2" t="inlineStr">
        <is>
          <t>Sanlam Umbrella Fund</t>
        </is>
      </c>
      <c r="C23" s="2" t="inlineStr">
        <is>
          <t>Umbrella DC</t>
        </is>
      </c>
      <c r="D23" s="2" t="n">
        <v>10000</v>
      </c>
      <c r="E23" s="2" t="n">
        <v>2024</v>
      </c>
      <c r="F23" s="2" t="inlineStr">
        <is>
          <t>Large umbrella DC pool</t>
        </is>
      </c>
      <c r="G23" s="2" t="inlineStr">
        <is>
          <t>Alts allocation handled by underlying portfolio managers.</t>
        </is>
      </c>
    </row>
    <row r="24" ht="15" customHeight="1" s="16">
      <c r="A24" s="2" t="inlineStr">
        <is>
          <t>South Africa</t>
        </is>
      </c>
      <c r="B24" s="2" t="inlineStr">
        <is>
          <t>Eskom Pension and Provident Fund (EPPF)</t>
        </is>
      </c>
      <c r="C24" s="2" t="inlineStr">
        <is>
          <t>Parastatal PF</t>
        </is>
      </c>
      <c r="D24" s="2" t="n">
        <v>10000</v>
      </c>
      <c r="E24" s="2" t="n">
        <v>2024</v>
      </c>
      <c r="F24" s="2" t="inlineStr">
        <is>
          <t>Major SA parastatal allocator</t>
        </is>
      </c>
      <c r="G24" s="2" t="inlineStr">
        <is>
          <t>Disclosed alts mandates including unlisted equity.</t>
        </is>
      </c>
    </row>
    <row r="25" ht="23.25" customHeight="1" s="16">
      <c r="A25" s="2" t="inlineStr">
        <is>
          <t>Ghana</t>
        </is>
      </c>
      <c r="B25" s="2" t="inlineStr">
        <is>
          <t>SSNIT</t>
        </is>
      </c>
      <c r="C25" s="2" t="inlineStr">
        <is>
          <t>Public PF (mandatory)</t>
        </is>
      </c>
      <c r="D25" s="2" t="n">
        <v>3000</v>
      </c>
      <c r="E25" s="2" t="n">
        <v>2023</v>
      </c>
      <c r="F25" s="2" t="inlineStr">
        <is>
          <t>Largest WAEMU+Ghana public PF (ex-Nigeria PFAs combined)</t>
        </is>
      </c>
      <c r="G25" s="2" t="inlineStr">
        <is>
          <t>Has made direct equity investments in Ghanaian listed/unlisted firms (banking, real estate).</t>
        </is>
      </c>
    </row>
    <row r="26" ht="23.25" customHeight="1" s="16">
      <c r="A26" s="2" t="inlineStr">
        <is>
          <t>Kenya</t>
        </is>
      </c>
      <c r="B26" s="2" t="inlineStr">
        <is>
          <t>NSSF Kenya</t>
        </is>
      </c>
      <c r="C26" s="2" t="inlineStr">
        <is>
          <t>Public PF (mandatory)</t>
        </is>
      </c>
      <c r="D26" s="2" t="n">
        <v>3200</v>
      </c>
      <c r="E26" s="2" t="n">
        <v>2024</v>
      </c>
      <c r="F26" s="2" t="inlineStr">
        <is>
          <t>Largest Kenyan PF</t>
        </is>
      </c>
      <c r="G26" s="2" t="inlineStr">
        <is>
          <t>Mostly bonds/equities; verify any PE fund commitments (historically limited).</t>
        </is>
      </c>
    </row>
    <row r="27" ht="15" customHeight="1" s="16">
      <c r="A27" s="2" t="inlineStr">
        <is>
          <t>Algeria</t>
        </is>
      </c>
      <c r="B27" s="2" t="inlineStr">
        <is>
          <t>CNR Algeria</t>
        </is>
      </c>
      <c r="C27" s="2" t="inlineStr">
        <is>
          <t>Public PF</t>
        </is>
      </c>
      <c r="D27" s="2" t="n">
        <v>3000</v>
      </c>
      <c r="E27" s="2" t="n">
        <v>2023</v>
      </c>
      <c r="F27" s="2" t="inlineStr">
        <is>
          <t>Largest Algerian PF</t>
        </is>
      </c>
      <c r="G27" s="2" t="inlineStr">
        <is>
          <t>Limited disclosure; alts likely minimal.</t>
        </is>
      </c>
    </row>
    <row r="28" ht="15" customHeight="1" s="16">
      <c r="A28" s="2" t="inlineStr">
        <is>
          <t>Mauritius</t>
        </is>
      </c>
      <c r="B28" s="2" t="inlineStr">
        <is>
          <t>National Pensions Fund (NPF)</t>
        </is>
      </c>
      <c r="C28" s="2" t="inlineStr">
        <is>
          <t>Public PF</t>
        </is>
      </c>
      <c r="D28" s="2" t="n">
        <v>3000</v>
      </c>
      <c r="E28" s="2" t="n">
        <v>2024</v>
      </c>
      <c r="F28" s="2" t="inlineStr">
        <is>
          <t>Long-established Mauritian PF</t>
        </is>
      </c>
      <c r="G28" s="2" t="inlineStr">
        <is>
          <t>Verify exposure to Mauritian-domiciled Africa funds.</t>
        </is>
      </c>
    </row>
    <row r="29" ht="34.5" customHeight="1" s="16">
      <c r="A29" s="2" t="inlineStr">
        <is>
          <t>Nigeria</t>
        </is>
      </c>
      <c r="B29" s="2" t="inlineStr">
        <is>
          <t>Stanbic IBTC Pension Managers</t>
        </is>
      </c>
      <c r="C29" s="2" t="inlineStr">
        <is>
          <t>PFA (DC)</t>
        </is>
      </c>
      <c r="D29" s="2" t="n">
        <v>3500</v>
      </c>
      <c r="E29" s="2" t="n">
        <v>2024</v>
      </c>
      <c r="F29" s="2" t="inlineStr">
        <is>
          <t>Largest Nigerian PFA</t>
        </is>
      </c>
      <c r="G29" s="2" t="inlineStr">
        <is>
          <t>PenCom Multi-Fund Structure permits alts; Stanbic has made disclosed PE/infra fund commitments (e.g., African Capital Alliance, Vetiva, Sahel Capital).</t>
        </is>
      </c>
    </row>
    <row r="30" ht="23.25" customHeight="1" s="16">
      <c r="A30" s="2" t="inlineStr">
        <is>
          <t>Angola</t>
        </is>
      </c>
      <c r="B30" s="2" t="inlineStr">
        <is>
          <t>FSDEA</t>
        </is>
      </c>
      <c r="C30" s="2" t="inlineStr">
        <is>
          <t>SWF</t>
        </is>
      </c>
      <c r="D30" s="2" t="n">
        <v>3400</v>
      </c>
      <c r="E30" s="2" t="n">
        <v>2023</v>
      </c>
      <c r="F30" s="2" t="inlineStr">
        <is>
          <t>Active African SWF</t>
        </is>
      </c>
      <c r="G30" s="2" t="inlineStr">
        <is>
          <t>Has disclosed African PE/infra exposure (Quantum Global era under prior management; new mandate post-2018).</t>
        </is>
      </c>
    </row>
    <row r="31" ht="15" customHeight="1" s="16">
      <c r="A31" s="2" t="inlineStr">
        <is>
          <t>Ethiopia</t>
        </is>
      </c>
      <c r="B31" s="2" t="inlineStr">
        <is>
          <t>POESSA</t>
        </is>
      </c>
      <c r="C31" s="2" t="inlineStr">
        <is>
          <t>Civil-service PF</t>
        </is>
      </c>
      <c r="D31" s="2" t="n">
        <v>3500</v>
      </c>
      <c r="E31" s="2" t="n">
        <v>2024</v>
      </c>
      <c r="F31" s="2" t="inlineStr">
        <is>
          <t>Largest Ethiopian PF</t>
        </is>
      </c>
      <c r="G31" s="2" t="inlineStr">
        <is>
          <t>Verify any non-government-securities allocation.</t>
        </is>
      </c>
    </row>
    <row r="32" ht="23.25" customHeight="1" s="16">
      <c r="A32" s="2" t="inlineStr">
        <is>
          <t>Zambia</t>
        </is>
      </c>
      <c r="B32" s="2" t="inlineStr">
        <is>
          <t>NAPSA</t>
        </is>
      </c>
      <c r="C32" s="2" t="inlineStr">
        <is>
          <t>Public PF (mandatory)</t>
        </is>
      </c>
      <c r="D32" s="2" t="n">
        <v>2600</v>
      </c>
      <c r="E32" s="2" t="n">
        <v>2024</v>
      </c>
      <c r="F32" s="2" t="inlineStr">
        <is>
          <t>Largest Zambian PF</t>
        </is>
      </c>
      <c r="G32" s="2" t="inlineStr">
        <is>
          <t>Has invested in domestic infrastructure (toll roads, real estate); verify PE fund commitments.</t>
        </is>
      </c>
    </row>
    <row r="33" ht="23.25" customHeight="1" s="16">
      <c r="A33" s="2" t="inlineStr">
        <is>
          <t>Nigeria</t>
        </is>
      </c>
      <c r="B33" s="2" t="inlineStr">
        <is>
          <t>NSIA</t>
        </is>
      </c>
      <c r="C33" s="2" t="inlineStr">
        <is>
          <t>SWF (3 sub-funds)</t>
        </is>
      </c>
      <c r="D33" s="2" t="n">
        <v>2900</v>
      </c>
      <c r="E33" s="2" t="n">
        <v>2023</v>
      </c>
      <c r="F33" s="2" t="inlineStr">
        <is>
          <t>Active strategic SWF</t>
        </is>
      </c>
      <c r="G33" s="2" t="inlineStr">
        <is>
          <t>NIF sub-fund has co-invested in Nigerian infra, agribusiness, healthcare; LP in PE funds (e.g., Verod, African Capital Alliance).</t>
        </is>
      </c>
    </row>
    <row r="34" ht="23.25" customHeight="1" s="16">
      <c r="A34" s="2" t="inlineStr">
        <is>
          <t>Côte d'Ivoire</t>
        </is>
      </c>
      <c r="B34" s="2" t="inlineStr">
        <is>
          <t>CGRAE</t>
        </is>
      </c>
      <c r="C34" s="2" t="inlineStr">
        <is>
          <t>Civil-service PF</t>
        </is>
      </c>
      <c r="D34" s="2" t="n">
        <v>1800</v>
      </c>
      <c r="E34" s="2" t="n">
        <v>2024</v>
      </c>
      <c r="F34" s="2" t="inlineStr">
        <is>
          <t>Largest UEMOA civil-service PF outside Senegal</t>
        </is>
      </c>
      <c r="G34" s="2" t="inlineStr">
        <is>
          <t>Verify if any alts allocation under recent reform.</t>
        </is>
      </c>
    </row>
    <row r="35" ht="23.25" customHeight="1" s="16">
      <c r="A35" s="2" t="inlineStr">
        <is>
          <t>Nigeria</t>
        </is>
      </c>
      <c r="B35" s="2" t="inlineStr">
        <is>
          <t>ARM Pension Managers</t>
        </is>
      </c>
      <c r="C35" s="2" t="inlineStr">
        <is>
          <t>PFA</t>
        </is>
      </c>
      <c r="D35" s="2" t="n">
        <v>1800</v>
      </c>
      <c r="E35" s="2" t="n">
        <v>2024</v>
      </c>
      <c r="F35" s="2" t="inlineStr">
        <is>
          <t>Top-3 Nigerian PFA</t>
        </is>
      </c>
      <c r="G35" s="2" t="inlineStr">
        <is>
          <t>ARM affiliate is a major Nigerian PE manager (ARM-Harith); intra-group commitments are an obvious starting point.</t>
        </is>
      </c>
    </row>
    <row r="36" ht="15" customHeight="1" s="16">
      <c r="A36" s="2" t="inlineStr">
        <is>
          <t>Côte d'Ivoire</t>
        </is>
      </c>
      <c r="B36" s="2" t="inlineStr">
        <is>
          <t>CNPS-CI</t>
        </is>
      </c>
      <c r="C36" s="2" t="inlineStr">
        <is>
          <t>Private-sector PF</t>
        </is>
      </c>
      <c r="D36" s="2" t="n">
        <v>1500</v>
      </c>
      <c r="E36" s="2" t="n">
        <v>2024</v>
      </c>
      <c r="F36" s="2" t="inlineStr">
        <is>
          <t>Largest UEMOA private-sector PF</t>
        </is>
      </c>
      <c r="G36" s="2" t="inlineStr">
        <is>
          <t>Verify alts exposure.</t>
        </is>
      </c>
    </row>
    <row r="37" ht="15" customHeight="1" s="16">
      <c r="A37" s="2" t="inlineStr">
        <is>
          <t>Botswana</t>
        </is>
      </c>
      <c r="B37" s="2" t="inlineStr">
        <is>
          <t>Debswana Pension Fund</t>
        </is>
      </c>
      <c r="C37" s="2" t="inlineStr">
        <is>
          <t>Corporate PF (mining JV)</t>
        </is>
      </c>
      <c r="D37" s="2" t="n">
        <v>1500</v>
      </c>
      <c r="E37" s="2" t="n">
        <v>2024</v>
      </c>
      <c r="F37" s="2" t="inlineStr">
        <is>
          <t>Highly active alts allocator</t>
        </is>
      </c>
      <c r="G37" s="2" t="inlineStr">
        <is>
          <t>Long-running alts programme; LP in African PE funds.</t>
        </is>
      </c>
    </row>
    <row r="38" ht="15" customHeight="1" s="16">
      <c r="A38" s="2" t="inlineStr">
        <is>
          <t>Tunisia</t>
        </is>
      </c>
      <c r="B38" s="2" t="inlineStr">
        <is>
          <t>CNRPS</t>
        </is>
      </c>
      <c r="C38" s="2" t="inlineStr">
        <is>
          <t>Civil-service PF</t>
        </is>
      </c>
      <c r="D38" s="2" t="n">
        <v>2200</v>
      </c>
      <c r="E38" s="2" t="n">
        <v>2023</v>
      </c>
      <c r="F38" s="2" t="inlineStr">
        <is>
          <t>Largest Tunisian PF</t>
        </is>
      </c>
      <c r="G38" s="2" t="inlineStr">
        <is>
          <t>Limited disclosure; verify.</t>
        </is>
      </c>
    </row>
    <row r="39" ht="15" customHeight="1" s="16">
      <c r="A39" s="2" t="inlineStr">
        <is>
          <t>Egypt</t>
        </is>
      </c>
      <c r="B39" s="2" t="inlineStr">
        <is>
          <t>TSFE see above</t>
        </is>
      </c>
      <c r="C39" s="2" t="inlineStr">
        <is>
          <t>—</t>
        </is>
      </c>
      <c r="D39" s="2" t="n">
        <v>0</v>
      </c>
      <c r="E39" s="2" t="inlineStr">
        <is>
          <t>—</t>
        </is>
      </c>
      <c r="F39" s="2" t="inlineStr">
        <is>
          <t>(duplicate)</t>
        </is>
      </c>
      <c r="G39" s="2" t="inlineStr">
        <is>
          <t>—</t>
        </is>
      </c>
    </row>
    <row r="40" ht="23.25" customHeight="1" s="16">
      <c r="A40" s="2" t="inlineStr">
        <is>
          <t>Rwanda</t>
        </is>
      </c>
      <c r="B40" s="2" t="inlineStr">
        <is>
          <t>RSSB</t>
        </is>
      </c>
      <c r="C40" s="2" t="inlineStr">
        <is>
          <t>Public PF</t>
        </is>
      </c>
      <c r="D40" s="2" t="n">
        <v>1500</v>
      </c>
      <c r="E40" s="2" t="n">
        <v>2024</v>
      </c>
      <c r="F40" s="2" t="inlineStr">
        <is>
          <t>Largest Rwandan PF</t>
        </is>
      </c>
      <c r="G40" s="2" t="inlineStr">
        <is>
          <t>Active in Rwandan strategic investments; has equity stakes in BK Group, Rwandair, etc.</t>
        </is>
      </c>
    </row>
    <row r="41" ht="15" customHeight="1" s="16">
      <c r="A41" s="2" t="inlineStr">
        <is>
          <t>Tunisia</t>
        </is>
      </c>
      <c r="B41" s="2" t="inlineStr">
        <is>
          <t>CNSS Tunisia</t>
        </is>
      </c>
      <c r="C41" s="2" t="inlineStr">
        <is>
          <t>Public PF</t>
        </is>
      </c>
      <c r="D41" s="2" t="n">
        <v>1500</v>
      </c>
      <c r="E41" s="2" t="n">
        <v>2023</v>
      </c>
      <c r="F41" s="2" t="inlineStr">
        <is>
          <t>Major Tunisian PF</t>
        </is>
      </c>
      <c r="G41" s="2" t="inlineStr">
        <is>
          <t>Limited disclosure.</t>
        </is>
      </c>
    </row>
    <row r="42" ht="15" customHeight="1" s="16">
      <c r="A42" s="2" t="inlineStr">
        <is>
          <t>Algeria</t>
        </is>
      </c>
      <c r="B42" s="2" t="inlineStr">
        <is>
          <t>CNAS Algeria</t>
        </is>
      </c>
      <c r="C42" s="2" t="inlineStr">
        <is>
          <t>Public PF</t>
        </is>
      </c>
      <c r="D42" s="2" t="n">
        <v>1500</v>
      </c>
      <c r="E42" s="2" t="n">
        <v>2023</v>
      </c>
      <c r="F42" s="2" t="inlineStr">
        <is>
          <t>Major Algerian PF</t>
        </is>
      </c>
      <c r="G42" s="2" t="inlineStr">
        <is>
          <t>Limited disclosure.</t>
        </is>
      </c>
    </row>
    <row r="43" ht="15" customHeight="1" s="16">
      <c r="A43" s="2" t="inlineStr">
        <is>
          <t>Ethiopia</t>
        </is>
      </c>
      <c r="B43" s="2" t="inlineStr">
        <is>
          <t>POSSA</t>
        </is>
      </c>
      <c r="C43" s="2" t="inlineStr">
        <is>
          <t>Private-sector PF</t>
        </is>
      </c>
      <c r="D43" s="2" t="n">
        <v>1500</v>
      </c>
      <c r="E43" s="2" t="n">
        <v>2024</v>
      </c>
      <c r="F43" s="2" t="inlineStr">
        <is>
          <t>Major Ethiopian PF</t>
        </is>
      </c>
      <c r="G43" s="2" t="inlineStr">
        <is>
          <t>Verify any non-government allocation.</t>
        </is>
      </c>
    </row>
    <row r="44" ht="23.25" customHeight="1" s="16">
      <c r="A44" s="2" t="inlineStr">
        <is>
          <t>Senegal</t>
        </is>
      </c>
      <c r="B44" s="2" t="inlineStr">
        <is>
          <t>FONSIS</t>
        </is>
      </c>
      <c r="C44" s="2" t="inlineStr">
        <is>
          <t>SWF (strategic)</t>
        </is>
      </c>
      <c r="D44" s="2" t="n">
        <v>1000</v>
      </c>
      <c r="E44" s="2" t="n">
        <v>2023</v>
      </c>
      <c r="F44" s="2" t="inlineStr">
        <is>
          <t>Active strategic investor in Senegal</t>
        </is>
      </c>
      <c r="G44" s="2" t="inlineStr">
        <is>
          <t>Direct equity in hotels, agribusiness, infra; co-invests with DFIs and African PE funds.</t>
        </is>
      </c>
    </row>
    <row r="45" ht="15" customHeight="1" s="16">
      <c r="A45" s="2" t="inlineStr">
        <is>
          <t>Gabon</t>
        </is>
      </c>
      <c r="B45" s="2" t="inlineStr">
        <is>
          <t>FGIS</t>
        </is>
      </c>
      <c r="C45" s="2" t="inlineStr">
        <is>
          <t>SWF (strategic)</t>
        </is>
      </c>
      <c r="D45" s="2" t="n">
        <v>1500</v>
      </c>
      <c r="E45" s="2" t="n">
        <v>2023</v>
      </c>
      <c r="F45" s="2" t="inlineStr">
        <is>
          <t>Active strategic SWF in Central Africa</t>
        </is>
      </c>
      <c r="G45" s="2" t="inlineStr">
        <is>
          <t>Stakes in Gabonese financial sector and Africa-focused infra platforms.</t>
        </is>
      </c>
    </row>
    <row r="46" ht="15" customHeight="1" s="16">
      <c r="A46" s="2" t="inlineStr">
        <is>
          <t>Djibouti</t>
        </is>
      </c>
      <c r="B46" s="2" t="inlineStr">
        <is>
          <t>FSD</t>
        </is>
      </c>
      <c r="C46" s="2" t="inlineStr">
        <is>
          <t>SWF (strategic)</t>
        </is>
      </c>
      <c r="D46" s="2" t="n">
        <v>1500</v>
      </c>
      <c r="E46" s="2" t="n">
        <v>2024</v>
      </c>
      <c r="F46" s="2" t="inlineStr">
        <is>
          <t>Newer but active strategic SWF</t>
        </is>
      </c>
      <c r="G46" s="2" t="inlineStr">
        <is>
          <t>Mandate includes domestic strategic investments and partnerships.</t>
        </is>
      </c>
    </row>
    <row r="47" ht="23.25" customHeight="1" s="16">
      <c r="A47" s="2" t="inlineStr">
        <is>
          <t>Morocco</t>
        </is>
      </c>
      <c r="B47" s="2" t="inlineStr">
        <is>
          <t>Ithmar Capital</t>
        </is>
      </c>
      <c r="C47" s="2" t="inlineStr">
        <is>
          <t>SWF (sector-strategic)</t>
        </is>
      </c>
      <c r="D47" s="2" t="n">
        <v>1000</v>
      </c>
      <c r="E47" s="2" t="n">
        <v>2023</v>
      </c>
      <c r="F47" s="2" t="inlineStr">
        <is>
          <t>Tourism/renewables strategic SWF</t>
        </is>
      </c>
      <c r="G47" s="2" t="inlineStr">
        <is>
          <t>Co-investor with Green Africa Investment, AfDB, Morocco's Mohammed VI Fund.</t>
        </is>
      </c>
    </row>
    <row r="48" ht="15" customHeight="1" s="16">
      <c r="A48" s="2" t="inlineStr">
        <is>
          <t>Nigeria</t>
        </is>
      </c>
      <c r="B48" s="2" t="inlineStr">
        <is>
          <t>Premium Pension</t>
        </is>
      </c>
      <c r="C48" s="2" t="inlineStr">
        <is>
          <t>PFA</t>
        </is>
      </c>
      <c r="D48" s="2" t="n">
        <v>1500</v>
      </c>
      <c r="E48" s="2" t="n">
        <v>2024</v>
      </c>
      <c r="F48" s="2" t="inlineStr">
        <is>
          <t>Top Nigerian PFA</t>
        </is>
      </c>
      <c r="G48" s="2" t="inlineStr">
        <is>
          <t>PenCom Multi-Fund Structure permits alts; verify commitments.</t>
        </is>
      </c>
    </row>
    <row r="49" ht="15" customHeight="1" s="16">
      <c r="A49" s="2" t="inlineStr">
        <is>
          <t>Nigeria</t>
        </is>
      </c>
      <c r="B49" s="2" t="inlineStr">
        <is>
          <t>Sigma / Access Pensions</t>
        </is>
      </c>
      <c r="C49" s="2" t="inlineStr">
        <is>
          <t>PFA</t>
        </is>
      </c>
      <c r="D49" s="2" t="n">
        <v>1100</v>
      </c>
      <c r="E49" s="2" t="n">
        <v>2024</v>
      </c>
      <c r="F49" s="2" t="inlineStr">
        <is>
          <t>Top Nigerian PFA</t>
        </is>
      </c>
      <c r="G49" s="2" t="inlineStr">
        <is>
          <t>Access Holdings ownership; verify intra-group alts.</t>
        </is>
      </c>
    </row>
    <row r="50" ht="15" customHeight="1" s="16">
      <c r="A50" s="2" t="inlineStr">
        <is>
          <t>Nigeria</t>
        </is>
      </c>
      <c r="B50" s="2" t="inlineStr">
        <is>
          <t>Tangerine APT Pensions</t>
        </is>
      </c>
      <c r="C50" s="2" t="inlineStr">
        <is>
          <t>PFA</t>
        </is>
      </c>
      <c r="D50" s="2" t="n">
        <v>1200</v>
      </c>
      <c r="E50" s="2" t="n">
        <v>2024</v>
      </c>
      <c r="F50" s="2" t="inlineStr">
        <is>
          <t>Top Nigerian PFA</t>
        </is>
      </c>
      <c r="G50" s="2" t="inlineStr">
        <is>
          <t>Post-merger entity; verify commitments.</t>
        </is>
      </c>
    </row>
    <row r="51" ht="15" customHeight="1" s="16">
      <c r="A51" s="2" t="inlineStr">
        <is>
          <t>Morocco</t>
        </is>
      </c>
      <c r="B51" s="2" t="inlineStr">
        <is>
          <t>Mohammed VI Fund for Investment</t>
        </is>
      </c>
      <c r="C51" s="2" t="inlineStr">
        <is>
          <t>SWF (strategic)</t>
        </is>
      </c>
      <c r="D51" s="2" t="n">
        <v>4500</v>
      </c>
      <c r="E51" s="2" t="n">
        <v>2024</v>
      </c>
      <c r="F51" s="2" t="inlineStr">
        <is>
          <t>Newer but well-capitalised</t>
        </is>
      </c>
      <c r="G51" s="2" t="inlineStr">
        <is>
          <t>Anchor investor in domestic sectoral funds and PPP platforms.</t>
        </is>
      </c>
    </row>
  </sheetData>
  <autoFilter ref="A3:G51"/>
  <mergeCells count="1">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O87"/>
  <sheetViews>
    <sheetView tabSelected="1" zoomScaleNormal="100" workbookViewId="0">
      <pane ySplit="1" topLeftCell="A72" activePane="bottomLeft" state="frozen"/>
      <selection pane="bottomLeft" activeCell="A76" sqref="A76"/>
    </sheetView>
  </sheetViews>
  <sheetFormatPr baseColWidth="8" defaultColWidth="8.7109375" defaultRowHeight="15"/>
  <cols>
    <col width="30" customWidth="1" style="16" min="1" max="1"/>
    <col width="14" customWidth="1" style="16" min="2" max="2"/>
    <col width="22" customWidth="1" style="16" min="3" max="3"/>
    <col width="18" customWidth="1" style="16" min="4" max="4"/>
    <col width="30" customWidth="1" style="16" min="5" max="5"/>
    <col width="38" customWidth="1" style="16" min="6" max="6"/>
    <col width="22" customWidth="1" style="16" min="7" max="8"/>
    <col width="14" customWidth="1" style="16" min="9" max="9"/>
    <col width="26" customWidth="1" style="16" min="10" max="10"/>
    <col width="8" customWidth="1" style="16" min="11" max="11"/>
    <col width="28" customWidth="1" style="16" min="12" max="12"/>
    <col width="32" customWidth="1" style="16" min="13" max="13"/>
    <col width="12" customWidth="1" style="16" min="14" max="14"/>
    <col width="60" customWidth="1" style="16" min="15" max="15"/>
  </cols>
  <sheetData>
    <row r="1" ht="23.25" customHeight="1" s="16">
      <c r="A1" s="1" t="inlineStr">
        <is>
          <t>Allocator (institution)</t>
        </is>
      </c>
      <c r="B1" s="1" t="inlineStr">
        <is>
          <t>Allocator country</t>
        </is>
      </c>
      <c r="C1" s="1" t="inlineStr">
        <is>
          <t>Allocator type</t>
        </is>
      </c>
      <c r="D1" s="1" t="inlineStr">
        <is>
          <t>Commitment type</t>
        </is>
      </c>
      <c r="E1" s="1" t="inlineStr">
        <is>
          <t>GP or counterparty</t>
        </is>
      </c>
      <c r="F1" s="1" t="inlineStr">
        <is>
          <t>Fund / Vehicle / Deal name</t>
        </is>
      </c>
      <c r="G1" s="1" t="inlineStr">
        <is>
          <t>Asset class</t>
        </is>
      </c>
      <c r="H1" s="1" t="inlineStr">
        <is>
          <t>Geographic focus</t>
        </is>
      </c>
      <c r="I1" s="1" t="inlineStr">
        <is>
          <t>Vintage / Year</t>
        </is>
      </c>
      <c r="J1" s="1" t="inlineStr">
        <is>
          <t>Commitment size (reported)</t>
        </is>
      </c>
      <c r="K1" s="1" t="inlineStr">
        <is>
          <t>Currency</t>
        </is>
      </c>
      <c r="L1" s="1" t="inlineStr">
        <is>
          <t>Disclosure type</t>
        </is>
      </c>
      <c r="M1" s="1" t="inlineStr">
        <is>
          <t>Source (short)</t>
        </is>
      </c>
      <c r="N1" s="1" t="inlineStr">
        <is>
          <t>Confidence</t>
        </is>
      </c>
      <c r="O1" s="1" t="inlineStr">
        <is>
          <t>Notes</t>
        </is>
      </c>
    </row>
    <row r="2" ht="23.25" customHeight="1" s="16">
      <c r="A2" s="2" t="inlineStr">
        <is>
          <t>PIC (mgr for GEPF)</t>
        </is>
      </c>
      <c r="B2" s="2" t="inlineStr">
        <is>
          <t>South Africa</t>
        </is>
      </c>
      <c r="C2" s="2" t="inlineStr">
        <is>
          <t>Public PF (via mgr)</t>
        </is>
      </c>
      <c r="D2" s="2" t="inlineStr">
        <is>
          <t>Fund LP</t>
        </is>
      </c>
      <c r="E2" s="2" t="inlineStr">
        <is>
          <t>Africa50</t>
        </is>
      </c>
      <c r="F2" s="2" t="inlineStr">
        <is>
          <t>Africa50 (shareholder stake)</t>
        </is>
      </c>
      <c r="G2" s="2" t="inlineStr">
        <is>
          <t>Infrastructure platform</t>
        </is>
      </c>
      <c r="H2" s="2" t="inlineStr">
        <is>
          <t>Pan-Africa</t>
        </is>
      </c>
      <c r="I2" s="2" t="n">
        <v>2025</v>
      </c>
      <c r="J2" s="2" t="inlineStr">
        <is>
          <t>USD 40m</t>
        </is>
      </c>
      <c r="K2" s="2" t="inlineStr">
        <is>
          <t>USD</t>
        </is>
      </c>
      <c r="L2" s="2" t="inlineStr">
        <is>
          <t>Press release</t>
        </is>
      </c>
      <c r="M2" s="2" t="inlineStr">
        <is>
          <t>Africa50 announcement Apr 2025</t>
        </is>
      </c>
      <c r="N2" s="2" t="inlineStr">
        <is>
          <t>H</t>
        </is>
      </c>
      <c r="O2" s="2" t="inlineStr">
        <is>
          <t>PIC became 36th shareholder of Africa50 with USD 40m investment, signalling continental infrastructure commitment.</t>
        </is>
      </c>
    </row>
    <row r="3" ht="23.25" customHeight="1" s="16">
      <c r="A3" s="2" t="inlineStr">
        <is>
          <t>PIC (mgr for GEPF)</t>
        </is>
      </c>
      <c r="B3" s="2" t="inlineStr">
        <is>
          <t>South Africa</t>
        </is>
      </c>
      <c r="C3" s="2" t="inlineStr">
        <is>
          <t>Public PF (via mgr)</t>
        </is>
      </c>
      <c r="D3" s="2" t="inlineStr">
        <is>
          <t>Fund LP</t>
        </is>
      </c>
      <c r="E3" s="2" t="inlineStr">
        <is>
          <t>Helios Investment Partners</t>
        </is>
      </c>
      <c r="F3" s="2" t="inlineStr">
        <is>
          <t>Helios Investors II / III / IV (historical)</t>
        </is>
      </c>
      <c r="G3" s="2" t="inlineStr">
        <is>
          <t>PE</t>
        </is>
      </c>
      <c r="H3" s="2" t="inlineStr">
        <is>
          <t>Pan-Africa</t>
        </is>
      </c>
      <c r="I3" s="2" t="inlineStr">
        <is>
          <t>2009–2020</t>
        </is>
      </c>
      <c r="J3" s="2" t="inlineStr">
        <is>
          <t>Not disclosed publicly</t>
        </is>
      </c>
      <c r="K3" s="2" t="inlineStr">
        <is>
          <t>USD</t>
        </is>
      </c>
      <c r="L3" s="2" t="inlineStr">
        <is>
          <t>Trade press / GP disclosure</t>
        </is>
      </c>
      <c r="M3" s="2" t="inlineStr">
        <is>
          <t>Helios LP composition; widely reported</t>
        </is>
      </c>
      <c r="N3" s="2" t="inlineStr">
        <is>
          <t>M</t>
        </is>
      </c>
      <c r="O3" s="2" t="inlineStr">
        <is>
          <t>PIC has been a recurring LP in Helios funds dating back to Helios II; specific commitment sizes not publicly disclosed.</t>
        </is>
      </c>
    </row>
    <row r="4" ht="15" customHeight="1" s="16">
      <c r="A4" s="2" t="inlineStr">
        <is>
          <t>PIC (mgr for GEPF)</t>
        </is>
      </c>
      <c r="B4" s="2" t="inlineStr">
        <is>
          <t>South Africa</t>
        </is>
      </c>
      <c r="C4" s="2" t="inlineStr">
        <is>
          <t>Public PF (via mgr)</t>
        </is>
      </c>
      <c r="D4" s="2" t="inlineStr">
        <is>
          <t>Fund LP</t>
        </is>
      </c>
      <c r="E4" s="2" t="inlineStr">
        <is>
          <t>Pembani Remgro</t>
        </is>
      </c>
      <c r="F4" s="2" t="inlineStr">
        <is>
          <t>Pembani Remgro Infrastructure Fund</t>
        </is>
      </c>
      <c r="G4" s="2" t="inlineStr">
        <is>
          <t>Infrastructure</t>
        </is>
      </c>
      <c r="H4" s="2" t="inlineStr">
        <is>
          <t>Pan-Africa</t>
        </is>
      </c>
      <c r="I4" s="2" t="n">
        <v>2015</v>
      </c>
      <c r="J4" s="2" t="inlineStr">
        <is>
          <t>USD ~250m (anchor)</t>
        </is>
      </c>
      <c r="K4" s="2" t="inlineStr">
        <is>
          <t>USD</t>
        </is>
      </c>
      <c r="L4" s="2" t="inlineStr">
        <is>
          <t>Trade press</t>
        </is>
      </c>
      <c r="M4" s="2" t="inlineStr">
        <is>
          <t>Africa Capital Digest reporting</t>
        </is>
      </c>
      <c r="N4" s="2" t="inlineStr">
        <is>
          <t>M</t>
        </is>
      </c>
      <c r="O4" s="2" t="inlineStr">
        <is>
          <t>PIC was an anchor LP at fund formation.</t>
        </is>
      </c>
    </row>
    <row r="5" ht="23.25" customHeight="1" s="16">
      <c r="A5" s="2" t="inlineStr">
        <is>
          <t>PIC (mgr for GEPF)</t>
        </is>
      </c>
      <c r="B5" s="2" t="inlineStr">
        <is>
          <t>South Africa</t>
        </is>
      </c>
      <c r="C5" s="2" t="inlineStr">
        <is>
          <t>Public PF (via mgr)</t>
        </is>
      </c>
      <c r="D5" s="2" t="inlineStr">
        <is>
          <t>Fund LP</t>
        </is>
      </c>
      <c r="E5" s="2" t="inlineStr">
        <is>
          <t>Convergence Partners</t>
        </is>
      </c>
      <c r="F5" s="2" t="inlineStr">
        <is>
          <t>Convergence Partners Communications Infrastructure Fund</t>
        </is>
      </c>
      <c r="G5" s="2" t="inlineStr">
        <is>
          <t>Infrastructure</t>
        </is>
      </c>
      <c r="H5" s="2" t="inlineStr">
        <is>
          <t>Pan-Africa</t>
        </is>
      </c>
      <c r="I5" s="2" t="inlineStr">
        <is>
          <t>various</t>
        </is>
      </c>
      <c r="J5" s="2" t="inlineStr">
        <is>
          <t>Not disclosed publicly</t>
        </is>
      </c>
      <c r="K5" s="2" t="inlineStr">
        <is>
          <t>USD</t>
        </is>
      </c>
      <c r="L5" s="2" t="inlineStr">
        <is>
          <t>Trade press</t>
        </is>
      </c>
      <c r="M5" s="2" t="inlineStr">
        <is>
          <t>AVCA fund close reporting</t>
        </is>
      </c>
      <c r="N5" s="2" t="inlineStr">
        <is>
          <t>M</t>
        </is>
      </c>
      <c r="O5" s="2" t="inlineStr">
        <is>
          <t>PIC participated in Convergence Partners' digital infrastructure platform.</t>
        </is>
      </c>
    </row>
    <row r="6" ht="23.25" customHeight="1" s="16">
      <c r="A6" s="2" t="inlineStr">
        <is>
          <t>PIC (mgr for GEPF)</t>
        </is>
      </c>
      <c r="B6" s="2" t="inlineStr">
        <is>
          <t>South Africa</t>
        </is>
      </c>
      <c r="C6" s="2" t="inlineStr">
        <is>
          <t>Public PF (via mgr)</t>
        </is>
      </c>
      <c r="D6" s="2" t="inlineStr">
        <is>
          <t>Direct equity</t>
        </is>
      </c>
      <c r="E6" s="2" t="inlineStr">
        <is>
          <t>—</t>
        </is>
      </c>
      <c r="F6" s="2" t="inlineStr">
        <is>
          <t>Isibaya developmental investments portfolio</t>
        </is>
      </c>
      <c r="G6" s="2" t="inlineStr">
        <is>
          <t>Direct / Mixed</t>
        </is>
      </c>
      <c r="H6" s="2" t="inlineStr">
        <is>
          <t>Domestic + Africa</t>
        </is>
      </c>
      <c r="I6" s="2" t="inlineStr">
        <is>
          <t>ongoing</t>
        </is>
      </c>
      <c r="J6" s="2" t="inlineStr">
        <is>
          <t>ZAR ~70bn cumulative</t>
        </is>
      </c>
      <c r="K6" s="2" t="inlineStr">
        <is>
          <t>ZAR</t>
        </is>
      </c>
      <c r="L6" s="2" t="inlineStr">
        <is>
          <t>Annual report</t>
        </is>
      </c>
      <c r="M6" s="2" t="inlineStr">
        <is>
          <t>PIC Corporate Plan 2025/26</t>
        </is>
      </c>
      <c r="N6" s="2" t="inlineStr">
        <is>
          <t>H</t>
        </is>
      </c>
      <c r="O6" s="2" t="inlineStr">
        <is>
          <t>Isibaya programme deploys to unlisted equity and infrastructure across SA and rest of Africa; PIC reports ~20% to alternatives overall.</t>
        </is>
      </c>
    </row>
    <row r="7" ht="23.25" customHeight="1" s="16">
      <c r="A7" s="2" t="inlineStr">
        <is>
          <t>Eskom Pension and Provident Fund (EPPF)</t>
        </is>
      </c>
      <c r="B7" s="2" t="inlineStr">
        <is>
          <t>South Africa</t>
        </is>
      </c>
      <c r="C7" s="2" t="inlineStr">
        <is>
          <t>Parastatal PF</t>
        </is>
      </c>
      <c r="D7" s="2" t="inlineStr">
        <is>
          <t>Fund LP</t>
        </is>
      </c>
      <c r="E7" s="2" t="inlineStr">
        <is>
          <t>Multiple SA + pan-Africa GPs</t>
        </is>
      </c>
      <c r="F7" s="2" t="inlineStr">
        <is>
          <t>Multiple PE funds</t>
        </is>
      </c>
      <c r="G7" s="2" t="inlineStr">
        <is>
          <t>PE</t>
        </is>
      </c>
      <c r="H7" s="2" t="inlineStr">
        <is>
          <t>South Africa + Pan-Africa</t>
        </is>
      </c>
      <c r="I7" s="2" t="inlineStr">
        <is>
          <t>10+ years history</t>
        </is>
      </c>
      <c r="J7" s="2" t="inlineStr">
        <is>
          <t>~4% of AUM</t>
        </is>
      </c>
      <c r="K7" s="2" t="inlineStr">
        <is>
          <t>ZAR</t>
        </is>
      </c>
      <c r="L7" s="2" t="inlineStr">
        <is>
          <t>Top1000funds.com profile / EPPF disclosure</t>
        </is>
      </c>
      <c r="M7" s="2" t="inlineStr">
        <is>
          <t>EPPF investment strategy</t>
        </is>
      </c>
      <c r="N7" s="2" t="inlineStr">
        <is>
          <t>H</t>
        </is>
      </c>
      <c r="O7" s="2" t="inlineStr">
        <is>
          <t>EPPF has been investing in PE for 10+ years; ~10% to alts total, ~4% to PE; selectively includes pan-Africa funds.</t>
        </is>
      </c>
    </row>
    <row r="8" ht="15" customHeight="1" s="16">
      <c r="A8" s="2" t="inlineStr">
        <is>
          <t>GEPF (via PIC)</t>
        </is>
      </c>
      <c r="B8" s="2" t="inlineStr">
        <is>
          <t>South Africa</t>
        </is>
      </c>
      <c r="C8" s="2" t="inlineStr">
        <is>
          <t>Public PF (via mgr)</t>
        </is>
      </c>
      <c r="D8" s="2" t="inlineStr">
        <is>
          <t>Platform</t>
        </is>
      </c>
      <c r="E8" s="2" t="inlineStr">
        <is>
          <t>African Development Bank</t>
        </is>
      </c>
      <c r="F8" s="2" t="inlineStr">
        <is>
          <t>Africa50 (indirect via PIC)</t>
        </is>
      </c>
      <c r="G8" s="2" t="inlineStr">
        <is>
          <t>Infrastructure platform</t>
        </is>
      </c>
      <c r="H8" s="2" t="inlineStr">
        <is>
          <t>Pan-Africa</t>
        </is>
      </c>
      <c r="I8" s="2" t="n">
        <v>2025</v>
      </c>
      <c r="J8" s="2" t="inlineStr">
        <is>
          <t>USD 40m (via PIC)</t>
        </is>
      </c>
      <c r="K8" s="2" t="inlineStr">
        <is>
          <t>USD</t>
        </is>
      </c>
      <c r="L8" s="2" t="inlineStr">
        <is>
          <t>Press release</t>
        </is>
      </c>
      <c r="M8" s="2" t="inlineStr">
        <is>
          <t>Africa50 announcement</t>
        </is>
      </c>
      <c r="N8" s="2" t="inlineStr">
        <is>
          <t>H</t>
        </is>
      </c>
      <c r="O8" s="2" t="inlineStr">
        <is>
          <t>GEPF is ultimate asset owner; PIC executes.</t>
        </is>
      </c>
    </row>
    <row r="9" ht="23.25" customHeight="1" s="16">
      <c r="A9" s="2" t="inlineStr">
        <is>
          <t>Nigeria Sovereign Investment Authority (NSIA)</t>
        </is>
      </c>
      <c r="B9" s="2" t="inlineStr">
        <is>
          <t>Nigeria</t>
        </is>
      </c>
      <c r="C9" s="2" t="inlineStr">
        <is>
          <t>SWF (3 sub-funds)</t>
        </is>
      </c>
      <c r="D9" s="2" t="inlineStr">
        <is>
          <t>Fund LP</t>
        </is>
      </c>
      <c r="E9" s="2" t="inlineStr">
        <is>
          <t>Africa50</t>
        </is>
      </c>
      <c r="F9" s="2" t="inlineStr">
        <is>
          <t>Africa50 Infrastructure Acceleration Fund (IAF)</t>
        </is>
      </c>
      <c r="G9" s="2" t="inlineStr">
        <is>
          <t>Infrastructure</t>
        </is>
      </c>
      <c r="H9" s="2" t="inlineStr">
        <is>
          <t>Pan-Africa</t>
        </is>
      </c>
      <c r="I9" s="2" t="n">
        <v>2026</v>
      </c>
      <c r="J9" s="2" t="inlineStr">
        <is>
          <t>Not disclosed</t>
        </is>
      </c>
      <c r="K9" s="2" t="inlineStr">
        <is>
          <t>USD</t>
        </is>
      </c>
      <c r="L9" s="2" t="inlineStr">
        <is>
          <t>Press release</t>
        </is>
      </c>
      <c r="M9" s="2" t="inlineStr">
        <is>
          <t>NSIA announcement Feb 2026</t>
        </is>
      </c>
      <c r="N9" s="2" t="inlineStr">
        <is>
          <t>H</t>
        </is>
      </c>
      <c r="O9" s="2" t="inlineStr">
        <is>
          <t>Latest committed fund LP investment; aligns with NIF sub-fund mandate.</t>
        </is>
      </c>
    </row>
    <row r="10" ht="23.25" customHeight="1" s="16">
      <c r="A10" s="2" t="inlineStr">
        <is>
          <t>Nigeria Sovereign Investment Authority (NSIA)</t>
        </is>
      </c>
      <c r="B10" s="2" t="inlineStr">
        <is>
          <t>Nigeria</t>
        </is>
      </c>
      <c r="C10" s="2" t="inlineStr">
        <is>
          <t>SWF (3 sub-funds)</t>
        </is>
      </c>
      <c r="D10" s="2" t="inlineStr">
        <is>
          <t>Direct equity</t>
        </is>
      </c>
      <c r="E10" s="2" t="inlineStr">
        <is>
          <t>Various consortia</t>
        </is>
      </c>
      <c r="F10" s="2" t="inlineStr">
        <is>
          <t>Nigeria Infrastructure Fund (NIF) direct deals</t>
        </is>
      </c>
      <c r="G10" s="2" t="inlineStr">
        <is>
          <t>Direct / Infrastructure</t>
        </is>
      </c>
      <c r="H10" s="2" t="inlineStr">
        <is>
          <t>Domestic</t>
        </is>
      </c>
      <c r="I10" s="2" t="inlineStr">
        <is>
          <t>ongoing</t>
        </is>
      </c>
      <c r="J10" s="2" t="inlineStr">
        <is>
          <t>USD 550m+ added FY24</t>
        </is>
      </c>
      <c r="K10" s="2" t="inlineStr">
        <is>
          <t>USD</t>
        </is>
      </c>
      <c r="L10" s="2" t="inlineStr">
        <is>
          <t>Press release / annual report</t>
        </is>
      </c>
      <c r="M10" s="2" t="inlineStr">
        <is>
          <t>NSIA disclosure on additional govt funding</t>
        </is>
      </c>
      <c r="N10" s="2" t="inlineStr">
        <is>
          <t>H</t>
        </is>
      </c>
      <c r="O10" s="2" t="inlineStr">
        <is>
          <t>Federal Government injected USD 550m to scale energy infra; NIF is the direct-deal vehicle.</t>
        </is>
      </c>
    </row>
    <row r="11" ht="23.25" customHeight="1" s="16">
      <c r="A11" s="2" t="inlineStr">
        <is>
          <t>Nigeria Sovereign Investment Authority (NSIA)</t>
        </is>
      </c>
      <c r="B11" s="2" t="inlineStr">
        <is>
          <t>Nigeria</t>
        </is>
      </c>
      <c r="C11" s="2" t="inlineStr">
        <is>
          <t>SWF</t>
        </is>
      </c>
      <c r="D11" s="2" t="inlineStr">
        <is>
          <t>Direct equity</t>
        </is>
      </c>
      <c r="E11" s="2" t="inlineStr">
        <is>
          <t>—</t>
        </is>
      </c>
      <c r="F11" s="2" t="inlineStr">
        <is>
          <t>Lekki Deep Sea Port (PPP equity)</t>
        </is>
      </c>
      <c r="G11" s="2" t="inlineStr">
        <is>
          <t>Direct / Infrastructure</t>
        </is>
      </c>
      <c r="H11" s="2" t="inlineStr">
        <is>
          <t>Domestic</t>
        </is>
      </c>
      <c r="I11" s="2" t="inlineStr">
        <is>
          <t>2017–</t>
        </is>
      </c>
      <c r="J11" s="2" t="inlineStr">
        <is>
          <t>Not disclosed</t>
        </is>
      </c>
      <c r="K11" s="2" t="inlineStr">
        <is>
          <t>USD</t>
        </is>
      </c>
      <c r="L11" s="2" t="inlineStr">
        <is>
          <t>Annual report / trade press</t>
        </is>
      </c>
      <c r="M11" s="2" t="inlineStr">
        <is>
          <t>NSIA NIF portfolio disclosures</t>
        </is>
      </c>
      <c r="N11" s="2" t="inlineStr">
        <is>
          <t>H</t>
        </is>
      </c>
      <c r="O11" s="2" t="inlineStr">
        <is>
          <t>Notable NIF direct PPP equity stake.</t>
        </is>
      </c>
    </row>
    <row r="12" ht="23.25" customHeight="1" s="16">
      <c r="A12" s="2" t="inlineStr">
        <is>
          <t>Nigeria Sovereign Investment Authority (NSIA)</t>
        </is>
      </c>
      <c r="B12" s="2" t="inlineStr">
        <is>
          <t>Nigeria</t>
        </is>
      </c>
      <c r="C12" s="2" t="inlineStr">
        <is>
          <t>SWF</t>
        </is>
      </c>
      <c r="D12" s="2" t="inlineStr">
        <is>
          <t>Direct equity</t>
        </is>
      </c>
      <c r="E12" s="2" t="inlineStr">
        <is>
          <t>—</t>
        </is>
      </c>
      <c r="F12" s="2" t="inlineStr">
        <is>
          <t>Pandagric Novum (agribusiness)</t>
        </is>
      </c>
      <c r="G12" s="2" t="inlineStr">
        <is>
          <t>Direct / Agribusiness</t>
        </is>
      </c>
      <c r="H12" s="2" t="inlineStr">
        <is>
          <t>Domestic</t>
        </is>
      </c>
      <c r="I12" s="2" t="inlineStr">
        <is>
          <t>2018–</t>
        </is>
      </c>
      <c r="J12" s="2" t="inlineStr">
        <is>
          <t>Not disclosed</t>
        </is>
      </c>
      <c r="K12" s="2" t="inlineStr">
        <is>
          <t>USD</t>
        </is>
      </c>
      <c r="L12" s="2" t="inlineStr">
        <is>
          <t>Annual report</t>
        </is>
      </c>
      <c r="M12" s="2" t="inlineStr">
        <is>
          <t>NSIA NIF portfolio</t>
        </is>
      </c>
      <c r="N12" s="2" t="inlineStr">
        <is>
          <t>H</t>
        </is>
      </c>
      <c r="O12" s="2" t="inlineStr">
        <is>
          <t>NIF agribusiness anchor investment.</t>
        </is>
      </c>
    </row>
    <row r="13" ht="23.25" customHeight="1" s="16">
      <c r="A13" s="2" t="inlineStr">
        <is>
          <t>Nigeria Sovereign Investment Authority (NSIA)</t>
        </is>
      </c>
      <c r="B13" s="2" t="inlineStr">
        <is>
          <t>Nigeria</t>
        </is>
      </c>
      <c r="C13" s="2" t="inlineStr">
        <is>
          <t>SWF</t>
        </is>
      </c>
      <c r="D13" s="2" t="inlineStr">
        <is>
          <t>Fund LP</t>
        </is>
      </c>
      <c r="E13" s="2" t="inlineStr">
        <is>
          <t>African Capital Alliance (ACA)</t>
        </is>
      </c>
      <c r="F13" s="2" t="inlineStr">
        <is>
          <t>Capital Alliance Private Equity (CAPE) funds</t>
        </is>
      </c>
      <c r="G13" s="2" t="inlineStr">
        <is>
          <t>PE</t>
        </is>
      </c>
      <c r="H13" s="2" t="inlineStr">
        <is>
          <t>West Africa / Nigeria</t>
        </is>
      </c>
      <c r="I13" s="2" t="inlineStr">
        <is>
          <t>various</t>
        </is>
      </c>
      <c r="J13" s="2" t="inlineStr">
        <is>
          <t>Not disclosed publicly</t>
        </is>
      </c>
      <c r="K13" s="2" t="inlineStr">
        <is>
          <t>USD</t>
        </is>
      </c>
      <c r="L13" s="2" t="inlineStr">
        <is>
          <t>Trade press / industry knowledge</t>
        </is>
      </c>
      <c r="M13" s="2" t="inlineStr">
        <is>
          <t>Industry reporting</t>
        </is>
      </c>
      <c r="N13" s="2" t="inlineStr">
        <is>
          <t>M</t>
        </is>
      </c>
      <c r="O13" s="2" t="inlineStr">
        <is>
          <t>NSIA has been an LP in Nigerian-focused PE funds; sizes not disclosed.</t>
        </is>
      </c>
    </row>
    <row r="14" ht="23.25" customHeight="1" s="16">
      <c r="A14" s="2" t="inlineStr">
        <is>
          <t>Multiple Nigerian PFAs (consortium)</t>
        </is>
      </c>
      <c r="B14" s="2" t="inlineStr">
        <is>
          <t>Nigeria</t>
        </is>
      </c>
      <c r="C14" s="2" t="inlineStr">
        <is>
          <t>PFA cohort</t>
        </is>
      </c>
      <c r="D14" s="2" t="inlineStr">
        <is>
          <t>Fund LP</t>
        </is>
      </c>
      <c r="E14" s="2" t="inlineStr">
        <is>
          <t>ARM-Harith Infrastructure Investment</t>
        </is>
      </c>
      <c r="F14" s="2" t="inlineStr">
        <is>
          <t>ARM-Harith Infrastructure Fund I</t>
        </is>
      </c>
      <c r="G14" s="2" t="inlineStr">
        <is>
          <t>Infrastructure</t>
        </is>
      </c>
      <c r="H14" s="2" t="inlineStr">
        <is>
          <t>Nigeria</t>
        </is>
      </c>
      <c r="I14" s="2" t="n">
        <v>2015</v>
      </c>
      <c r="J14" s="2" t="inlineStr">
        <is>
          <t>USD ~30m raised total (mostly local pensions)</t>
        </is>
      </c>
      <c r="K14" s="2" t="inlineStr">
        <is>
          <t>USD/NGN</t>
        </is>
      </c>
      <c r="L14" s="2" t="inlineStr">
        <is>
          <t>Press release / trade press</t>
        </is>
      </c>
      <c r="M14" s="2" t="inlineStr">
        <is>
          <t>First fund local-pension participation</t>
        </is>
      </c>
      <c r="N14" s="2" t="inlineStr">
        <is>
          <t>H</t>
        </is>
      </c>
      <c r="O14" s="2" t="inlineStr">
        <is>
          <t>Landmark first Nigerian-pension-funded infra fund.</t>
        </is>
      </c>
    </row>
    <row r="15" ht="34.5" customHeight="1" s="16">
      <c r="A15" s="2" t="inlineStr">
        <is>
          <t>Stanbic IBTC Pension Managers</t>
        </is>
      </c>
      <c r="B15" s="2" t="inlineStr">
        <is>
          <t>Nigeria</t>
        </is>
      </c>
      <c r="C15" s="2" t="inlineStr">
        <is>
          <t>PFA</t>
        </is>
      </c>
      <c r="D15" s="2" t="inlineStr">
        <is>
          <t>Fund LP</t>
        </is>
      </c>
      <c r="E15" s="2" t="inlineStr">
        <is>
          <t>Various Nigerian PE/infra GPs</t>
        </is>
      </c>
      <c r="F15" s="2" t="inlineStr">
        <is>
          <t>Multiple funds</t>
        </is>
      </c>
      <c r="G15" s="2" t="inlineStr">
        <is>
          <t>PE / Infrastructure</t>
        </is>
      </c>
      <c r="H15" s="2" t="inlineStr">
        <is>
          <t>Nigeria / West Africa</t>
        </is>
      </c>
      <c r="I15" s="2" t="inlineStr">
        <is>
          <t>various 2014–2024</t>
        </is>
      </c>
      <c r="J15" s="2" t="inlineStr">
        <is>
          <t>Not disclosed at fund level</t>
        </is>
      </c>
      <c r="K15" s="2" t="inlineStr">
        <is>
          <t>NGN</t>
        </is>
      </c>
      <c r="L15" s="2" t="inlineStr">
        <is>
          <t>PenCom returns / trade press</t>
        </is>
      </c>
      <c r="M15" s="2" t="inlineStr">
        <is>
          <t>PenCom Multi-Fund disclosures</t>
        </is>
      </c>
      <c r="N15" s="2" t="inlineStr">
        <is>
          <t>M</t>
        </is>
      </c>
      <c r="O15" s="2" t="inlineStr">
        <is>
          <t>Largest PFA; alts are growing portion of portfolio under Multi-Fund Structure but per-fund sizes are not publicly disclosed.</t>
        </is>
      </c>
    </row>
    <row r="16" ht="23.25" customHeight="1" s="16">
      <c r="A16" s="2" t="inlineStr">
        <is>
          <t>ARM Pension Managers (Access ARM Pensions)</t>
        </is>
      </c>
      <c r="B16" s="2" t="inlineStr">
        <is>
          <t>Nigeria</t>
        </is>
      </c>
      <c r="C16" s="2" t="inlineStr">
        <is>
          <t>PFA</t>
        </is>
      </c>
      <c r="D16" s="2" t="inlineStr">
        <is>
          <t>Fund LP</t>
        </is>
      </c>
      <c r="E16" s="2" t="inlineStr">
        <is>
          <t>ARM-Harith Infrastructure Investment</t>
        </is>
      </c>
      <c r="F16" s="2" t="inlineStr">
        <is>
          <t>ARM-Harith funds (intra-group affiliate)</t>
        </is>
      </c>
      <c r="G16" s="2" t="inlineStr">
        <is>
          <t>Infrastructure</t>
        </is>
      </c>
      <c r="H16" s="2" t="inlineStr">
        <is>
          <t>Nigeria</t>
        </is>
      </c>
      <c r="I16" s="2" t="inlineStr">
        <is>
          <t>various</t>
        </is>
      </c>
      <c r="J16" s="2" t="inlineStr">
        <is>
          <t>Not disclosed publicly</t>
        </is>
      </c>
      <c r="K16" s="2" t="inlineStr">
        <is>
          <t>NGN</t>
        </is>
      </c>
      <c r="L16" s="2" t="inlineStr">
        <is>
          <t>Industry reporting</t>
        </is>
      </c>
      <c r="M16" s="2" t="inlineStr">
        <is>
          <t>ARM group disclosures</t>
        </is>
      </c>
      <c r="N16" s="2" t="inlineStr">
        <is>
          <t>M</t>
        </is>
      </c>
      <c r="O16" s="2" t="inlineStr">
        <is>
          <t>ARM Pension and ARM-Harith are part of the same group; intra-group LP commitments are an obvious starting point.</t>
        </is>
      </c>
    </row>
    <row r="17" ht="23.25" customHeight="1" s="16">
      <c r="A17" s="2" t="inlineStr">
        <is>
          <t>The Sovereign Fund of Egypt (TSFE)</t>
        </is>
      </c>
      <c r="B17" s="2" t="inlineStr">
        <is>
          <t>Egypt</t>
        </is>
      </c>
      <c r="C17" s="2" t="inlineStr">
        <is>
          <t>SWF (strategic)</t>
        </is>
      </c>
      <c r="D17" s="2" t="inlineStr">
        <is>
          <t>Co-investment</t>
        </is>
      </c>
      <c r="E17" s="2" t="inlineStr">
        <is>
          <t>B Investments</t>
        </is>
      </c>
      <c r="F17" s="2" t="inlineStr">
        <is>
          <t>EZ International (El-Ezaby Pharmacy logistics JV)</t>
        </is>
      </c>
      <c r="G17" s="2" t="inlineStr">
        <is>
          <t>Direct / Healthcare</t>
        </is>
      </c>
      <c r="H17" s="2" t="inlineStr">
        <is>
          <t>Domestic</t>
        </is>
      </c>
      <c r="I17" s="2" t="n">
        <v>2024</v>
      </c>
      <c r="J17" s="2" t="inlineStr">
        <is>
          <t>Not disclosed</t>
        </is>
      </c>
      <c r="K17" s="2" t="inlineStr">
        <is>
          <t>EGP</t>
        </is>
      </c>
      <c r="L17" s="2" t="inlineStr">
        <is>
          <t>Press release</t>
        </is>
      </c>
      <c r="M17" s="2" t="inlineStr">
        <is>
          <t>TSFE Healthcare &amp; Pharma Subfund announcement</t>
        </is>
      </c>
      <c r="N17" s="2" t="inlineStr">
        <is>
          <t>H</t>
        </is>
      </c>
      <c r="O17" s="2" t="inlineStr">
        <is>
          <t>Co-invested via Healthcare &amp; Pharma Subfund with B Investments and El-Ezaby Pharmacy.</t>
        </is>
      </c>
    </row>
    <row r="18" ht="23.25" customHeight="1" s="16">
      <c r="A18" s="2" t="inlineStr">
        <is>
          <t>The Sovereign Fund of Egypt (TSFE)</t>
        </is>
      </c>
      <c r="B18" s="2" t="inlineStr">
        <is>
          <t>Egypt</t>
        </is>
      </c>
      <c r="C18" s="2" t="inlineStr">
        <is>
          <t>SWF (strategic)</t>
        </is>
      </c>
      <c r="D18" s="2" t="inlineStr">
        <is>
          <t>Platform</t>
        </is>
      </c>
      <c r="E18" s="2" t="inlineStr">
        <is>
          <t>ADQ (UAE)</t>
        </is>
      </c>
      <c r="F18" s="2" t="inlineStr">
        <is>
          <t>TSFE-ADQ Egyptian Health Platform</t>
        </is>
      </c>
      <c r="G18" s="2" t="inlineStr">
        <is>
          <t>Direct / Healthcare</t>
        </is>
      </c>
      <c r="H18" s="2" t="inlineStr">
        <is>
          <t>Domestic</t>
        </is>
      </c>
      <c r="I18" s="2" t="inlineStr">
        <is>
          <t>2022–</t>
        </is>
      </c>
      <c r="J18" s="2" t="inlineStr">
        <is>
          <t>USD ~2bn (platform)</t>
        </is>
      </c>
      <c r="K18" s="2" t="inlineStr">
        <is>
          <t>USD</t>
        </is>
      </c>
      <c r="L18" s="2" t="inlineStr">
        <is>
          <t>Press release</t>
        </is>
      </c>
      <c r="M18" s="2" t="inlineStr">
        <is>
          <t>ADQ-TSFE healthcare platform</t>
        </is>
      </c>
      <c r="N18" s="2" t="inlineStr">
        <is>
          <t>H</t>
        </is>
      </c>
      <c r="O18" s="2" t="inlineStr">
        <is>
          <t>Strategic healthcare platform co-developed with ADQ.</t>
        </is>
      </c>
    </row>
    <row r="19" ht="23.25" customHeight="1" s="16">
      <c r="A19" s="2" t="inlineStr">
        <is>
          <t>The Sovereign Fund of Egypt (TSFE)</t>
        </is>
      </c>
      <c r="B19" s="2" t="inlineStr">
        <is>
          <t>Egypt</t>
        </is>
      </c>
      <c r="C19" s="2" t="inlineStr">
        <is>
          <t>SWF (strategic)</t>
        </is>
      </c>
      <c r="D19" s="2" t="inlineStr">
        <is>
          <t>Platform</t>
        </is>
      </c>
      <c r="E19" s="2" t="inlineStr">
        <is>
          <t>Saudi PIF / Qatari QIA / ADQ</t>
        </is>
      </c>
      <c r="F19" s="2" t="inlineStr">
        <is>
          <t>Various Gulf-Egypt platforms</t>
        </is>
      </c>
      <c r="G19" s="2" t="inlineStr">
        <is>
          <t>Direct / Mixed</t>
        </is>
      </c>
      <c r="H19" s="2" t="inlineStr">
        <is>
          <t>Domestic</t>
        </is>
      </c>
      <c r="I19" s="2" t="inlineStr">
        <is>
          <t>ongoing</t>
        </is>
      </c>
      <c r="J19" s="2" t="inlineStr">
        <is>
          <t>Multi-bn</t>
        </is>
      </c>
      <c r="K19" s="2" t="inlineStr">
        <is>
          <t>USD</t>
        </is>
      </c>
      <c r="L19" s="2" t="inlineStr">
        <is>
          <t>Press release</t>
        </is>
      </c>
      <c r="M19" s="2" t="inlineStr">
        <is>
          <t>Repeated Gulf SWF co-investment announcements</t>
        </is>
      </c>
      <c r="N19" s="2" t="inlineStr">
        <is>
          <t>H</t>
        </is>
      </c>
      <c r="O19" s="2" t="inlineStr">
        <is>
          <t>TSFE has been the on-ground co-investment vehicle for Gulf SWF deployment into Egypt across financial services, healthcare, infra.</t>
        </is>
      </c>
    </row>
    <row r="20" ht="23.25" customHeight="1" s="16">
      <c r="A20" s="2" t="inlineStr">
        <is>
          <t>Caisse de Dépôt et de Gestion (CDG)</t>
        </is>
      </c>
      <c r="B20" s="2" t="inlineStr">
        <is>
          <t>Morocco</t>
        </is>
      </c>
      <c r="C20" s="2" t="inlineStr">
        <is>
          <t>Sovereign + pension manager</t>
        </is>
      </c>
      <c r="D20" s="2" t="inlineStr">
        <is>
          <t>Direct equity</t>
        </is>
      </c>
      <c r="E20" s="2" t="inlineStr">
        <is>
          <t>—</t>
        </is>
      </c>
      <c r="F20" s="2" t="inlineStr">
        <is>
          <t>Fipar-Holding (CDG Invest)</t>
        </is>
      </c>
      <c r="G20" s="2" t="inlineStr">
        <is>
          <t>Direct / Diversified</t>
        </is>
      </c>
      <c r="H20" s="2" t="inlineStr">
        <is>
          <t>Domestic</t>
        </is>
      </c>
      <c r="I20" s="2" t="inlineStr">
        <is>
          <t>ongoing</t>
        </is>
      </c>
      <c r="J20" s="2" t="inlineStr">
        <is>
          <t>MAD multi-bn</t>
        </is>
      </c>
      <c r="K20" s="2" t="inlineStr">
        <is>
          <t>MAD</t>
        </is>
      </c>
      <c r="L20" s="2" t="inlineStr">
        <is>
          <t>Annual report</t>
        </is>
      </c>
      <c r="M20" s="2" t="inlineStr">
        <is>
          <t>CDG Group annual report</t>
        </is>
      </c>
      <c r="N20" s="2" t="inlineStr">
        <is>
          <t>H</t>
        </is>
      </c>
      <c r="O20" s="2" t="inlineStr">
        <is>
          <t>CDG Invest's direct-equity portfolio of Moroccan corporate stakes.</t>
        </is>
      </c>
    </row>
    <row r="21" ht="23.25" customHeight="1" s="16">
      <c r="A21" s="2" t="inlineStr">
        <is>
          <t>Caisse de Dépôt et de Gestion (CDG)</t>
        </is>
      </c>
      <c r="B21" s="2" t="inlineStr">
        <is>
          <t>Morocco</t>
        </is>
      </c>
      <c r="C21" s="2" t="inlineStr">
        <is>
          <t>Sovereign + pension manager</t>
        </is>
      </c>
      <c r="D21" s="2" t="inlineStr">
        <is>
          <t>Fund GP (manage)</t>
        </is>
      </c>
      <c r="E21" s="2" t="inlineStr">
        <is>
          <t>CDG Invest (self)</t>
        </is>
      </c>
      <c r="F21" s="2" t="inlineStr">
        <is>
          <t>CapMezzanine III</t>
        </is>
      </c>
      <c r="G21" s="2" t="inlineStr">
        <is>
          <t>Private credit / Mezz</t>
        </is>
      </c>
      <c r="H21" s="2" t="inlineStr">
        <is>
          <t>Domestic</t>
        </is>
      </c>
      <c r="I21" s="2" t="inlineStr">
        <is>
          <t>active</t>
        </is>
      </c>
      <c r="J21" s="2" t="inlineStr">
        <is>
          <t>Not separately disclosed</t>
        </is>
      </c>
      <c r="K21" s="2" t="inlineStr">
        <is>
          <t>MAD</t>
        </is>
      </c>
      <c r="L21" s="2" t="inlineStr">
        <is>
          <t>Annual report</t>
        </is>
      </c>
      <c r="M21" s="2" t="inlineStr">
        <is>
          <t>CDG Capital materials</t>
        </is>
      </c>
      <c r="N21" s="2" t="inlineStr">
        <is>
          <t>H</t>
        </is>
      </c>
      <c r="O21" s="2" t="inlineStr">
        <is>
          <t>CDG Invest manages CapMezzanine III, a mezzanine fund for Moroccan SMEs.</t>
        </is>
      </c>
    </row>
    <row r="22" ht="23.25" customHeight="1" s="16">
      <c r="A22" s="2" t="inlineStr">
        <is>
          <t>Caisse de Dépôt et de Gestion (CDG)</t>
        </is>
      </c>
      <c r="B22" s="2" t="inlineStr">
        <is>
          <t>Morocco</t>
        </is>
      </c>
      <c r="C22" s="2" t="inlineStr">
        <is>
          <t>Sovereign + pension manager</t>
        </is>
      </c>
      <c r="D22" s="2" t="inlineStr">
        <is>
          <t>Fund GP (manage)</t>
        </is>
      </c>
      <c r="E22" s="2" t="inlineStr">
        <is>
          <t>CDG Invest (self)</t>
        </is>
      </c>
      <c r="F22" s="2" t="inlineStr">
        <is>
          <t>InfraMaroc</t>
        </is>
      </c>
      <c r="G22" s="2" t="inlineStr">
        <is>
          <t>Infrastructure</t>
        </is>
      </c>
      <c r="H22" s="2" t="inlineStr">
        <is>
          <t>Domestic</t>
        </is>
      </c>
      <c r="I22" s="2" t="inlineStr">
        <is>
          <t>active</t>
        </is>
      </c>
      <c r="J22" s="2" t="inlineStr">
        <is>
          <t>Not separately disclosed</t>
        </is>
      </c>
      <c r="K22" s="2" t="inlineStr">
        <is>
          <t>MAD</t>
        </is>
      </c>
      <c r="L22" s="2" t="inlineStr">
        <is>
          <t>Annual report</t>
        </is>
      </c>
      <c r="M22" s="2" t="inlineStr">
        <is>
          <t>CDG Capital materials</t>
        </is>
      </c>
      <c r="N22" s="2" t="inlineStr">
        <is>
          <t>H</t>
        </is>
      </c>
      <c r="O22" s="2" t="inlineStr">
        <is>
          <t>CDG-managed infra investment vehicle.</t>
        </is>
      </c>
    </row>
    <row r="23" ht="23.25" customHeight="1" s="16">
      <c r="A23" s="2" t="inlineStr">
        <is>
          <t>Caisse de Dépôt et de Gestion (CDG)</t>
        </is>
      </c>
      <c r="B23" s="2" t="inlineStr">
        <is>
          <t>Morocco</t>
        </is>
      </c>
      <c r="C23" s="2" t="inlineStr">
        <is>
          <t>Sovereign + pension manager</t>
        </is>
      </c>
      <c r="D23" s="2" t="inlineStr">
        <is>
          <t>Fund LP</t>
        </is>
      </c>
      <c r="E23" s="2" t="inlineStr">
        <is>
          <t>Mediterrania Capital Partners</t>
        </is>
      </c>
      <c r="F23" s="2" t="inlineStr">
        <is>
          <t>Mediterrania Capital II/III (historical)</t>
        </is>
      </c>
      <c r="G23" s="2" t="inlineStr">
        <is>
          <t>PE</t>
        </is>
      </c>
      <c r="H23" s="2" t="inlineStr">
        <is>
          <t>North Africa / pan-Africa</t>
        </is>
      </c>
      <c r="I23" s="2" t="inlineStr">
        <is>
          <t>various</t>
        </is>
      </c>
      <c r="J23" s="2" t="inlineStr">
        <is>
          <t>Not disclosed publicly</t>
        </is>
      </c>
      <c r="K23" s="2" t="inlineStr">
        <is>
          <t>EUR</t>
        </is>
      </c>
      <c r="L23" s="2" t="inlineStr">
        <is>
          <t>Trade press</t>
        </is>
      </c>
      <c r="M23" s="2" t="inlineStr">
        <is>
          <t>Industry coverage</t>
        </is>
      </c>
      <c r="N23" s="2" t="inlineStr">
        <is>
          <t>M</t>
        </is>
      </c>
      <c r="O23" s="2" t="inlineStr">
        <is>
          <t>CDG has historically been an LP in Mediterrania PE funds focused on Maghreb mid-market.</t>
        </is>
      </c>
    </row>
    <row r="24" ht="23.25" customHeight="1" s="16">
      <c r="A24" s="2" t="inlineStr">
        <is>
          <t>Caisse de Dépôt et de Gestion (CDG)</t>
        </is>
      </c>
      <c r="B24" s="2" t="inlineStr">
        <is>
          <t>Morocco</t>
        </is>
      </c>
      <c r="C24" s="2" t="inlineStr">
        <is>
          <t>Sovereign + pension manager</t>
        </is>
      </c>
      <c r="D24" s="2" t="inlineStr">
        <is>
          <t>Direct equity</t>
        </is>
      </c>
      <c r="E24" s="2" t="inlineStr">
        <is>
          <t>IFC + Fipar-Holding</t>
        </is>
      </c>
      <c r="F24" s="2" t="inlineStr">
        <is>
          <t>Retail Holding (food distribution, Morocco + Côte d'Ivoire)</t>
        </is>
      </c>
      <c r="G24" s="2" t="inlineStr">
        <is>
          <t>Direct / Consumer</t>
        </is>
      </c>
      <c r="H24" s="2" t="inlineStr">
        <is>
          <t>Regional</t>
        </is>
      </c>
      <c r="I24" s="2" t="n">
        <v>2024</v>
      </c>
      <c r="J24" s="2" t="inlineStr">
        <is>
          <t>Not disclosed</t>
        </is>
      </c>
      <c r="K24" s="2" t="inlineStr">
        <is>
          <t>USD</t>
        </is>
      </c>
      <c r="L24" s="2" t="inlineStr">
        <is>
          <t>Press release</t>
        </is>
      </c>
      <c r="M24" s="2" t="inlineStr">
        <is>
          <t>IFC announcement 2024</t>
        </is>
      </c>
      <c r="N24" s="2" t="inlineStr">
        <is>
          <t>H</t>
        </is>
      </c>
      <c r="O24" s="2" t="inlineStr">
        <is>
          <t>Joint investment with IFC and Fipar-Holding in retail/food platform.</t>
        </is>
      </c>
    </row>
    <row r="25" ht="23.25" customHeight="1" s="16">
      <c r="A25" s="2" t="inlineStr">
        <is>
          <t>Ithmar Capital</t>
        </is>
      </c>
      <c r="B25" s="2" t="inlineStr">
        <is>
          <t>Morocco</t>
        </is>
      </c>
      <c r="C25" s="2" t="inlineStr">
        <is>
          <t>SWF (sector-strategic)</t>
        </is>
      </c>
      <c r="D25" s="2" t="inlineStr">
        <is>
          <t>Fund LP</t>
        </is>
      </c>
      <c r="E25" s="2" t="inlineStr">
        <is>
          <t>Wessal Capital</t>
        </is>
      </c>
      <c r="F25" s="2" t="inlineStr">
        <is>
          <t>Wessal Capital (joint Morocco + Gulf SWFs platform)</t>
        </is>
      </c>
      <c r="G25" s="2" t="inlineStr">
        <is>
          <t>Direct / Real estate, infra</t>
        </is>
      </c>
      <c r="H25" s="2" t="inlineStr">
        <is>
          <t>Domestic</t>
        </is>
      </c>
      <c r="I25" s="2" t="inlineStr">
        <is>
          <t>active</t>
        </is>
      </c>
      <c r="J25" s="2" t="inlineStr">
        <is>
          <t>USD 2.5bn target</t>
        </is>
      </c>
      <c r="K25" s="2" t="inlineStr">
        <is>
          <t>USD</t>
        </is>
      </c>
      <c r="L25" s="2" t="inlineStr">
        <is>
          <t>Press release</t>
        </is>
      </c>
      <c r="M25" s="2" t="inlineStr">
        <is>
          <t>Wessal Capital announcements</t>
        </is>
      </c>
      <c r="N25" s="2" t="inlineStr">
        <is>
          <t>H</t>
        </is>
      </c>
      <c r="O25" s="2" t="inlineStr">
        <is>
          <t>Joint platform with Abu Dhabi, Kuwait, Qatar SWFs.</t>
        </is>
      </c>
    </row>
    <row r="26" ht="23.25" customHeight="1" s="16">
      <c r="A26" s="2" t="inlineStr">
        <is>
          <t>Mohammed VI Fund for Investment</t>
        </is>
      </c>
      <c r="B26" s="2" t="inlineStr">
        <is>
          <t>Morocco</t>
        </is>
      </c>
      <c r="C26" s="2" t="inlineStr">
        <is>
          <t>SWF (strategic)</t>
        </is>
      </c>
      <c r="D26" s="2" t="inlineStr">
        <is>
          <t>Fund LP / Anchor</t>
        </is>
      </c>
      <c r="E26" s="2" t="inlineStr">
        <is>
          <t>Multiple Moroccan sectoral GPs</t>
        </is>
      </c>
      <c r="F26" s="2" t="inlineStr">
        <is>
          <t>Sectoral co-investment funds</t>
        </is>
      </c>
      <c r="G26" s="2" t="inlineStr">
        <is>
          <t>Mixed</t>
        </is>
      </c>
      <c r="H26" s="2" t="inlineStr">
        <is>
          <t>Domestic</t>
        </is>
      </c>
      <c r="I26" s="2" t="inlineStr">
        <is>
          <t>active</t>
        </is>
      </c>
      <c r="J26" s="2" t="inlineStr">
        <is>
          <t>MAD 45bn capitalisation</t>
        </is>
      </c>
      <c r="K26" s="2" t="inlineStr">
        <is>
          <t>MAD</t>
        </is>
      </c>
      <c r="L26" s="2" t="inlineStr">
        <is>
          <t>Press release</t>
        </is>
      </c>
      <c r="M26" s="2" t="inlineStr">
        <is>
          <t>Mohammed VI Fund framework</t>
        </is>
      </c>
      <c r="N26" s="2" t="inlineStr">
        <is>
          <t>M</t>
        </is>
      </c>
      <c r="O26" s="2" t="inlineStr">
        <is>
          <t>Newly-capitalised; intended as anchor for Moroccan sectoral funds.</t>
        </is>
      </c>
    </row>
    <row r="27" ht="23.25" customHeight="1" s="16">
      <c r="A27" s="2" t="inlineStr">
        <is>
          <t>Government Institutions Pension Fund (GIPF)</t>
        </is>
      </c>
      <c r="B27" s="2" t="inlineStr">
        <is>
          <t>Namibia</t>
        </is>
      </c>
      <c r="C27" s="2" t="inlineStr">
        <is>
          <t>Public PF</t>
        </is>
      </c>
      <c r="D27" s="2" t="inlineStr">
        <is>
          <t>Fund LP (multiple)</t>
        </is>
      </c>
      <c r="E27" s="2" t="inlineStr">
        <is>
          <t>41 unique fund managers</t>
        </is>
      </c>
      <c r="F27" s="2" t="inlineStr">
        <is>
          <t>77 indirect funds (covering PE, VC, private credit, infra, RE)</t>
        </is>
      </c>
      <c r="G27" s="2" t="inlineStr">
        <is>
          <t>PE / VC / Infra / Private credit / RE</t>
        </is>
      </c>
      <c r="H27" s="2" t="inlineStr">
        <is>
          <t>Mostly Namibia + Africa</t>
        </is>
      </c>
      <c r="I27" s="2" t="inlineStr">
        <is>
          <t>to 30 June 2025</t>
        </is>
      </c>
      <c r="J27" s="2" t="inlineStr">
        <is>
          <t>N$24.9bn committed / N$22.8bn invested</t>
        </is>
      </c>
      <c r="K27" s="2" t="inlineStr">
        <is>
          <t>NAD</t>
        </is>
      </c>
      <c r="L27" s="2" t="inlineStr">
        <is>
          <t>Annual report / NAMFISA filing</t>
        </is>
      </c>
      <c r="M27" s="2" t="inlineStr">
        <is>
          <t>GIPF unlisted-investments disclosures 2024/25</t>
        </is>
      </c>
      <c r="N27" s="2" t="inlineStr">
        <is>
          <t>H</t>
        </is>
      </c>
      <c r="O27" s="2" t="inlineStr">
        <is>
          <t>GIPF Unlisted Investment Policy mandates ~10% PE + 5% RE; 307 underlying companies.</t>
        </is>
      </c>
    </row>
    <row r="28" ht="15" customHeight="1" s="16">
      <c r="A28" s="2" t="inlineStr">
        <is>
          <t>Government Institutions Pension Fund (GIPF)</t>
        </is>
      </c>
      <c r="B28" s="2" t="inlineStr">
        <is>
          <t>Namibia</t>
        </is>
      </c>
      <c r="C28" s="2" t="inlineStr">
        <is>
          <t>Public PF</t>
        </is>
      </c>
      <c r="D28" s="2" t="inlineStr">
        <is>
          <t>Fund LP</t>
        </is>
      </c>
      <c r="E28" s="2" t="inlineStr">
        <is>
          <t>Stimulus Investments</t>
        </is>
      </c>
      <c r="F28" s="2" t="inlineStr">
        <is>
          <t>Stimulus Investments Funds</t>
        </is>
      </c>
      <c r="G28" s="2" t="inlineStr">
        <is>
          <t>PE / Mezz</t>
        </is>
      </c>
      <c r="H28" s="2" t="inlineStr">
        <is>
          <t>Domestic (Namibia)</t>
        </is>
      </c>
      <c r="I28" s="2" t="inlineStr">
        <is>
          <t>multiple vintages</t>
        </is>
      </c>
      <c r="J28" s="2" t="inlineStr">
        <is>
          <t>N$ multiple commitments</t>
        </is>
      </c>
      <c r="K28" s="2" t="inlineStr">
        <is>
          <t>NAD</t>
        </is>
      </c>
      <c r="L28" s="2" t="inlineStr">
        <is>
          <t>GP disclosures + industry knowledge</t>
        </is>
      </c>
      <c r="M28" s="2" t="inlineStr">
        <is>
          <t>Stimulus Investments materials</t>
        </is>
      </c>
      <c r="N28" s="2" t="inlineStr">
        <is>
          <t>H</t>
        </is>
      </c>
      <c r="O28" s="2" t="inlineStr">
        <is>
          <t>Stimulus is a flagship Namibian unlisted manager; GIPF is an anchor LP.</t>
        </is>
      </c>
    </row>
    <row r="29" ht="23.25" customHeight="1" s="16">
      <c r="A29" s="2" t="inlineStr">
        <is>
          <t>Government Institutions Pension Fund (GIPF)</t>
        </is>
      </c>
      <c r="B29" s="2" t="inlineStr">
        <is>
          <t>Namibia</t>
        </is>
      </c>
      <c r="C29" s="2" t="inlineStr">
        <is>
          <t>Public PF</t>
        </is>
      </c>
      <c r="D29" s="2" t="inlineStr">
        <is>
          <t>Fund LP</t>
        </is>
      </c>
      <c r="E29" s="2" t="inlineStr">
        <is>
          <t>Eos Capital</t>
        </is>
      </c>
      <c r="F29" s="2" t="inlineStr">
        <is>
          <t>Eos Capital funds (Allegrow, Euphrates, etc.)</t>
        </is>
      </c>
      <c r="G29" s="2" t="inlineStr">
        <is>
          <t>PE</t>
        </is>
      </c>
      <c r="H29" s="2" t="inlineStr">
        <is>
          <t>Domestic (Namibia)</t>
        </is>
      </c>
      <c r="I29" s="2" t="inlineStr">
        <is>
          <t>multiple vintages</t>
        </is>
      </c>
      <c r="J29" s="2" t="inlineStr">
        <is>
          <t>N$ multiple commitments</t>
        </is>
      </c>
      <c r="K29" s="2" t="inlineStr">
        <is>
          <t>NAD</t>
        </is>
      </c>
      <c r="L29" s="2" t="inlineStr">
        <is>
          <t>GP disclosures</t>
        </is>
      </c>
      <c r="M29" s="2" t="inlineStr">
        <is>
          <t>Eos Capital materials</t>
        </is>
      </c>
      <c r="N29" s="2" t="inlineStr">
        <is>
          <t>H</t>
        </is>
      </c>
      <c r="O29" s="2" t="inlineStr">
        <is>
          <t>Eos manages multiple unlisted funds anchored by GIPF.</t>
        </is>
      </c>
    </row>
    <row r="30" ht="23.25" customHeight="1" s="16">
      <c r="A30" s="2" t="inlineStr">
        <is>
          <t>Government Institutions Pension Fund (GIPF)</t>
        </is>
      </c>
      <c r="B30" s="2" t="inlineStr">
        <is>
          <t>Namibia</t>
        </is>
      </c>
      <c r="C30" s="2" t="inlineStr">
        <is>
          <t>Public PF</t>
        </is>
      </c>
      <c r="D30" s="2" t="inlineStr">
        <is>
          <t>Fund LP</t>
        </is>
      </c>
      <c r="E30" s="2" t="inlineStr">
        <is>
          <t>Old Mutual Investment Group Namibia</t>
        </is>
      </c>
      <c r="F30" s="2" t="inlineStr">
        <is>
          <t>OMIGNAM unlisted programmes</t>
        </is>
      </c>
      <c r="G30" s="2" t="inlineStr">
        <is>
          <t>PE / Infrastructure</t>
        </is>
      </c>
      <c r="H30" s="2" t="inlineStr">
        <is>
          <t>Domestic (Namibia)</t>
        </is>
      </c>
      <c r="I30" s="2" t="inlineStr">
        <is>
          <t>multiple</t>
        </is>
      </c>
      <c r="J30" s="2" t="inlineStr">
        <is>
          <t>Not separately disclosed</t>
        </is>
      </c>
      <c r="K30" s="2" t="inlineStr">
        <is>
          <t>NAD</t>
        </is>
      </c>
      <c r="L30" s="2" t="inlineStr">
        <is>
          <t>GP disclosures</t>
        </is>
      </c>
      <c r="M30" s="2" t="inlineStr">
        <is>
          <t>OMIGNAM materials</t>
        </is>
      </c>
      <c r="N30" s="2" t="inlineStr">
        <is>
          <t>H</t>
        </is>
      </c>
      <c r="O30" s="2" t="n"/>
    </row>
    <row r="31" ht="23.25" customHeight="1" s="16">
      <c r="A31" s="2" t="inlineStr">
        <is>
          <t>Government Institutions Pension Fund (GIPF)</t>
        </is>
      </c>
      <c r="B31" s="2" t="inlineStr">
        <is>
          <t>Namibia</t>
        </is>
      </c>
      <c r="C31" s="2" t="inlineStr">
        <is>
          <t>Public PF</t>
        </is>
      </c>
      <c r="D31" s="2" t="inlineStr">
        <is>
          <t>Direct equity</t>
        </is>
      </c>
      <c r="E31" s="2" t="inlineStr">
        <is>
          <t>—</t>
        </is>
      </c>
      <c r="F31" s="2" t="inlineStr">
        <is>
          <t>Housing financing programme</t>
        </is>
      </c>
      <c r="G31" s="2" t="inlineStr">
        <is>
          <t>Direct / Housing infrastructure</t>
        </is>
      </c>
      <c r="H31" s="2" t="inlineStr">
        <is>
          <t>Domestic</t>
        </is>
      </c>
      <c r="I31" s="2" t="inlineStr">
        <is>
          <t>ongoing</t>
        </is>
      </c>
      <c r="J31" s="2" t="inlineStr">
        <is>
          <t>N$900m valued</t>
        </is>
      </c>
      <c r="K31" s="2" t="inlineStr">
        <is>
          <t>NAD</t>
        </is>
      </c>
      <c r="L31" s="2" t="inlineStr">
        <is>
          <t>Annual report</t>
        </is>
      </c>
      <c r="M31" s="2" t="inlineStr">
        <is>
          <t>GIPF disclosures</t>
        </is>
      </c>
      <c r="N31" s="2" t="inlineStr">
        <is>
          <t>H</t>
        </is>
      </c>
      <c r="O31" s="2" t="inlineStr">
        <is>
          <t>Domestic housing facility — a developmental-investment direct programme.</t>
        </is>
      </c>
    </row>
    <row r="32" ht="23.25" customHeight="1" s="16">
      <c r="A32" s="2" t="inlineStr">
        <is>
          <t>Botswana Public Officers Pension Fund (BPOPF)</t>
        </is>
      </c>
      <c r="B32" s="2" t="inlineStr">
        <is>
          <t>Botswana</t>
        </is>
      </c>
      <c r="C32" s="2" t="inlineStr">
        <is>
          <t>Public PF</t>
        </is>
      </c>
      <c r="D32" s="2" t="inlineStr">
        <is>
          <t>Fund LP</t>
        </is>
      </c>
      <c r="E32" s="2" t="inlineStr">
        <is>
          <t>Aleyo Capital</t>
        </is>
      </c>
      <c r="F32" s="2" t="inlineStr">
        <is>
          <t>Aleyo Capital Fund I</t>
        </is>
      </c>
      <c r="G32" s="2" t="inlineStr">
        <is>
          <t>PE</t>
        </is>
      </c>
      <c r="H32" s="2" t="inlineStr">
        <is>
          <t>Domestic</t>
        </is>
      </c>
      <c r="I32" s="2" t="n">
        <v>2017</v>
      </c>
      <c r="J32" s="2" t="inlineStr">
        <is>
          <t>BWP 500m (USD ~43m)</t>
        </is>
      </c>
      <c r="K32" s="2" t="inlineStr">
        <is>
          <t>BWP</t>
        </is>
      </c>
      <c r="L32" s="2" t="inlineStr">
        <is>
          <t>Press release</t>
        </is>
      </c>
      <c r="M32" s="2" t="inlineStr">
        <is>
          <t>BPOPF private equity incubation programme</t>
        </is>
      </c>
      <c r="N32" s="2" t="inlineStr">
        <is>
          <t>H</t>
        </is>
      </c>
      <c r="O32" s="2" t="inlineStr">
        <is>
          <t>Part of BPOPF's domestic PE incubation programme.</t>
        </is>
      </c>
    </row>
    <row r="33" ht="23.25" customHeight="1" s="16">
      <c r="A33" s="2" t="inlineStr">
        <is>
          <t>Botswana Public Officers Pension Fund (BPOPF)</t>
        </is>
      </c>
      <c r="B33" s="2" t="inlineStr">
        <is>
          <t>Botswana</t>
        </is>
      </c>
      <c r="C33" s="2" t="inlineStr">
        <is>
          <t>Public PF</t>
        </is>
      </c>
      <c r="D33" s="2" t="inlineStr">
        <is>
          <t>Fund LP</t>
        </is>
      </c>
      <c r="E33" s="2" t="inlineStr">
        <is>
          <t>Africa Lighthouse Capital</t>
        </is>
      </c>
      <c r="F33" s="2" t="inlineStr">
        <is>
          <t>Africa Lighthouse Capital Fund I</t>
        </is>
      </c>
      <c r="G33" s="2" t="inlineStr">
        <is>
          <t>PE</t>
        </is>
      </c>
      <c r="H33" s="2" t="inlineStr">
        <is>
          <t>Domestic + regional</t>
        </is>
      </c>
      <c r="I33" s="2" t="n">
        <v>2017</v>
      </c>
      <c r="J33" s="2" t="inlineStr">
        <is>
          <t>BWP 500m (USD ~43m)</t>
        </is>
      </c>
      <c r="K33" s="2" t="inlineStr">
        <is>
          <t>BWP</t>
        </is>
      </c>
      <c r="L33" s="2" t="inlineStr">
        <is>
          <t>Press release</t>
        </is>
      </c>
      <c r="M33" s="2" t="inlineStr">
        <is>
          <t>BPOPF private equity incubation programme</t>
        </is>
      </c>
      <c r="N33" s="2" t="inlineStr">
        <is>
          <t>H</t>
        </is>
      </c>
      <c r="O33" s="2" t="inlineStr">
        <is>
          <t>Part of BPOPF's incubation programme; anchor LP.</t>
        </is>
      </c>
    </row>
    <row r="34" ht="23.25" customHeight="1" s="16">
      <c r="A34" s="2" t="inlineStr">
        <is>
          <t>Botswana Public Officers Pension Fund (BPOPF)</t>
        </is>
      </c>
      <c r="B34" s="2" t="inlineStr">
        <is>
          <t>Botswana</t>
        </is>
      </c>
      <c r="C34" s="2" t="inlineStr">
        <is>
          <t>Public PF</t>
        </is>
      </c>
      <c r="D34" s="2" t="inlineStr">
        <is>
          <t>Fund LP</t>
        </is>
      </c>
      <c r="E34" s="2" t="inlineStr">
        <is>
          <t>Vantage Capital</t>
        </is>
      </c>
      <c r="F34" s="2" t="inlineStr">
        <is>
          <t>Vantage Capital Mezzanine funds</t>
        </is>
      </c>
      <c r="G34" s="2" t="inlineStr">
        <is>
          <t>Private credit / Mezz</t>
        </is>
      </c>
      <c r="H34" s="2" t="inlineStr">
        <is>
          <t>Pan-Africa</t>
        </is>
      </c>
      <c r="I34" s="2" t="inlineStr">
        <is>
          <t>various</t>
        </is>
      </c>
      <c r="J34" s="2" t="inlineStr">
        <is>
          <t>Not disclosed publicly</t>
        </is>
      </c>
      <c r="K34" s="2" t="inlineStr">
        <is>
          <t>USD</t>
        </is>
      </c>
      <c r="L34" s="2" t="inlineStr">
        <is>
          <t>Trade press</t>
        </is>
      </c>
      <c r="M34" s="2" t="inlineStr">
        <is>
          <t>Industry reporting</t>
        </is>
      </c>
      <c r="N34" s="2" t="inlineStr">
        <is>
          <t>M</t>
        </is>
      </c>
      <c r="O34" s="2" t="inlineStr">
        <is>
          <t>Disclosed in industry sources; sizes not public.</t>
        </is>
      </c>
    </row>
    <row r="35" ht="23.25" customHeight="1" s="16">
      <c r="A35" s="2" t="inlineStr">
        <is>
          <t>Botswana Public Officers Pension Fund (BPOPF)</t>
        </is>
      </c>
      <c r="B35" s="2" t="inlineStr">
        <is>
          <t>Botswana</t>
        </is>
      </c>
      <c r="C35" s="2" t="inlineStr">
        <is>
          <t>Public PF</t>
        </is>
      </c>
      <c r="D35" s="2" t="inlineStr">
        <is>
          <t>Fund LP</t>
        </is>
      </c>
      <c r="E35" s="2" t="inlineStr">
        <is>
          <t>Multiple SA + pan-Africa GPs</t>
        </is>
      </c>
      <c r="F35" s="2" t="inlineStr">
        <is>
          <t>Various</t>
        </is>
      </c>
      <c r="G35" s="2" t="inlineStr">
        <is>
          <t>PE / Infrastructure</t>
        </is>
      </c>
      <c r="H35" s="2" t="inlineStr">
        <is>
          <t>Pan-Africa</t>
        </is>
      </c>
      <c r="I35" s="2" t="inlineStr">
        <is>
          <t>ongoing</t>
        </is>
      </c>
      <c r="J35" s="2" t="inlineStr">
        <is>
          <t>~10% of AUM target</t>
        </is>
      </c>
      <c r="K35" s="2" t="inlineStr">
        <is>
          <t>BWP</t>
        </is>
      </c>
      <c r="L35" s="2" t="inlineStr">
        <is>
          <t>BPOPF investments page</t>
        </is>
      </c>
      <c r="M35" s="2" t="inlineStr">
        <is>
          <t>BPOPF disclosures</t>
        </is>
      </c>
      <c r="N35" s="2" t="inlineStr">
        <is>
          <t>H</t>
        </is>
      </c>
      <c r="O35" s="2" t="inlineStr">
        <is>
          <t>BPOPF targets ~10% in alternatives including PE, infra, RE.</t>
        </is>
      </c>
    </row>
    <row r="36" ht="23.25" customHeight="1" s="16">
      <c r="A36" s="2" t="inlineStr">
        <is>
          <t>NSSF Uganda</t>
        </is>
      </c>
      <c r="B36" s="2" t="inlineStr">
        <is>
          <t>Uganda</t>
        </is>
      </c>
      <c r="C36" s="2" t="inlineStr">
        <is>
          <t>Public PF</t>
        </is>
      </c>
      <c r="D36" s="2" t="inlineStr">
        <is>
          <t>Fund LP</t>
        </is>
      </c>
      <c r="E36" s="2" t="inlineStr">
        <is>
          <t>Pearl Capital Partners</t>
        </is>
      </c>
      <c r="F36" s="2" t="inlineStr">
        <is>
          <t>Yield Uganda Investment Fund</t>
        </is>
      </c>
      <c r="G36" s="2" t="inlineStr">
        <is>
          <t>PE / Agribusiness</t>
        </is>
      </c>
      <c r="H36" s="2" t="inlineStr">
        <is>
          <t>Domestic</t>
        </is>
      </c>
      <c r="I36" s="2" t="n">
        <v>2017</v>
      </c>
      <c r="J36" s="2" t="inlineStr">
        <is>
          <t>EUR ~2m founding (NSSF actually 2m, not 12m as initially recorded; 12m was total first close incl. EU/IFAD 10m)</t>
        </is>
      </c>
      <c r="K36" s="2" t="inlineStr">
        <is>
          <t>EUR</t>
        </is>
      </c>
      <c r="L36" s="2" t="inlineStr">
        <is>
          <t>Press release / annual report</t>
        </is>
      </c>
      <c r="M36" s="2" t="inlineStr">
        <is>
          <t>Yield Uganda Investment Fund disclosures</t>
        </is>
      </c>
      <c r="N36" s="2" t="inlineStr">
        <is>
          <t>H</t>
        </is>
      </c>
      <c r="O36" s="2" t="inlineStr">
        <is>
          <t>NSSF Uganda was a founding LP alongside EU and IFAD; fund now at EUR 20m total commitments. [CORRECTED in Phase 6: NSSF Uganda's actual founding ticket was EUR 2m, alongside EUR 10m from EU/IFAD, for the EUR 12m total first close. Fund subsequently grew to EUR 20m via FCA Investments + Soros Economic Development Fund.]</t>
        </is>
      </c>
    </row>
    <row r="37" ht="23.25" customHeight="1" s="16">
      <c r="A37" s="2" t="inlineStr">
        <is>
          <t>NSSF Uganda</t>
        </is>
      </c>
      <c r="B37" s="2" t="inlineStr">
        <is>
          <t>Uganda</t>
        </is>
      </c>
      <c r="C37" s="2" t="inlineStr">
        <is>
          <t>Public PF</t>
        </is>
      </c>
      <c r="D37" s="2" t="inlineStr">
        <is>
          <t>Direct / Multiple</t>
        </is>
      </c>
      <c r="E37" s="2" t="inlineStr">
        <is>
          <t>Various</t>
        </is>
      </c>
      <c r="F37" s="2" t="inlineStr">
        <is>
          <t>~20% alternatives portfolio (mostly RE, growing infra/PE)</t>
        </is>
      </c>
      <c r="G37" s="2" t="inlineStr">
        <is>
          <t>Mixed</t>
        </is>
      </c>
      <c r="H37" s="2" t="inlineStr">
        <is>
          <t>Domestic + EAC</t>
        </is>
      </c>
      <c r="I37" s="2" t="inlineStr">
        <is>
          <t>ongoing</t>
        </is>
      </c>
      <c r="J37" s="2" t="inlineStr">
        <is>
          <t>~USh5.2tn (20% of USh26tn AUM)</t>
        </is>
      </c>
      <c r="K37" s="2" t="inlineStr">
        <is>
          <t>UGX</t>
        </is>
      </c>
      <c r="L37" s="2" t="inlineStr">
        <is>
          <t>Annual report</t>
        </is>
      </c>
      <c r="M37" s="2" t="inlineStr">
        <is>
          <t>NSSF Uganda Integrated Report</t>
        </is>
      </c>
      <c r="N37" s="2" t="inlineStr">
        <is>
          <t>H</t>
        </is>
      </c>
      <c r="O37" s="2" t="inlineStr">
        <is>
          <t>NSSF Uganda discloses ~20% alts; real estate dominant historically, infra/PE growing.</t>
        </is>
      </c>
    </row>
    <row r="38" ht="23.25" customHeight="1" s="16">
      <c r="A38" s="2" t="inlineStr">
        <is>
          <t>NSSF Uganda</t>
        </is>
      </c>
      <c r="B38" s="2" t="inlineStr">
        <is>
          <t>Uganda</t>
        </is>
      </c>
      <c r="C38" s="2" t="inlineStr">
        <is>
          <t>Public PF</t>
        </is>
      </c>
      <c r="D38" s="2" t="inlineStr">
        <is>
          <t>Fund LP</t>
        </is>
      </c>
      <c r="E38" s="2" t="inlineStr">
        <is>
          <t>Catalyst Principal Partners (historical)</t>
        </is>
      </c>
      <c r="F38" s="2" t="inlineStr">
        <is>
          <t>Catalyst Fund II</t>
        </is>
      </c>
      <c r="G38" s="2" t="inlineStr">
        <is>
          <t>PE</t>
        </is>
      </c>
      <c r="H38" s="2" t="inlineStr">
        <is>
          <t>East Africa</t>
        </is>
      </c>
      <c r="I38" s="2" t="n">
        <v>2017</v>
      </c>
      <c r="J38" s="2" t="inlineStr">
        <is>
          <t>Not separately disclosed</t>
        </is>
      </c>
      <c r="K38" s="2" t="inlineStr">
        <is>
          <t>USD</t>
        </is>
      </c>
      <c r="L38" s="2" t="inlineStr">
        <is>
          <t>Trade press</t>
        </is>
      </c>
      <c r="M38" s="2" t="inlineStr">
        <is>
          <t>AVCA fund close coverage</t>
        </is>
      </c>
      <c r="N38" s="2" t="inlineStr">
        <is>
          <t>M</t>
        </is>
      </c>
      <c r="O38" s="2" t="inlineStr">
        <is>
          <t>Reported among Catalyst II's LPs.</t>
        </is>
      </c>
    </row>
    <row r="39" ht="23.25" customHeight="1" s="16">
      <c r="A39" s="2" t="inlineStr">
        <is>
          <t>Fundo Soberano de Angola (FSDEA)</t>
        </is>
      </c>
      <c r="B39" s="2" t="inlineStr">
        <is>
          <t>Angola</t>
        </is>
      </c>
      <c r="C39" s="2" t="inlineStr">
        <is>
          <t>SWF</t>
        </is>
      </c>
      <c r="D39" s="2" t="inlineStr">
        <is>
          <t>Platform / Anchor</t>
        </is>
      </c>
      <c r="E39" s="2" t="inlineStr">
        <is>
          <t>Gemcorp Capital</t>
        </is>
      </c>
      <c r="F39" s="2" t="inlineStr">
        <is>
          <t>Gemcorp-FSDEA Pan-African Infrastructure Fund</t>
        </is>
      </c>
      <c r="G39" s="2" t="inlineStr">
        <is>
          <t>Infrastructure</t>
        </is>
      </c>
      <c r="H39" s="2" t="inlineStr">
        <is>
          <t>Pan-Africa</t>
        </is>
      </c>
      <c r="I39" s="2" t="n">
        <v>2024</v>
      </c>
      <c r="J39" s="2" t="inlineStr">
        <is>
          <t>USD ~500m target</t>
        </is>
      </c>
      <c r="K39" s="2" t="inlineStr">
        <is>
          <t>USD</t>
        </is>
      </c>
      <c r="L39" s="2" t="inlineStr">
        <is>
          <t>Press release</t>
        </is>
      </c>
      <c r="M39" s="2" t="inlineStr">
        <is>
          <t>AltAssets reporting</t>
        </is>
      </c>
      <c r="N39" s="2" t="inlineStr">
        <is>
          <t>H</t>
        </is>
      </c>
      <c r="O39" s="2" t="inlineStr">
        <is>
          <t>Joint pan-African infra fund with Gemcorp.</t>
        </is>
      </c>
    </row>
    <row r="40" ht="23.25" customHeight="1" s="16">
      <c r="A40" s="2" t="inlineStr">
        <is>
          <t>Fundo Soberano de Angola (FSDEA)</t>
        </is>
      </c>
      <c r="B40" s="2" t="inlineStr">
        <is>
          <t>Angola</t>
        </is>
      </c>
      <c r="C40" s="2" t="inlineStr">
        <is>
          <t>SWF</t>
        </is>
      </c>
      <c r="D40" s="2" t="inlineStr">
        <is>
          <t>Direct / Co-invest</t>
        </is>
      </c>
      <c r="E40" s="2" t="inlineStr">
        <is>
          <t>Government consortium</t>
        </is>
      </c>
      <c r="F40" s="2" t="inlineStr">
        <is>
          <t>Lobito Corridor partnership</t>
        </is>
      </c>
      <c r="G40" s="2" t="inlineStr">
        <is>
          <t>Direct / Infrastructure</t>
        </is>
      </c>
      <c r="H40" s="2" t="inlineStr">
        <is>
          <t>Regional (Angola-Zambia-DRC)</t>
        </is>
      </c>
      <c r="I40" s="2" t="n">
        <v>2024</v>
      </c>
      <c r="J40" s="2" t="inlineStr">
        <is>
          <t>USD 1bn partnership</t>
        </is>
      </c>
      <c r="K40" s="2" t="inlineStr">
        <is>
          <t>USD</t>
        </is>
      </c>
      <c r="L40" s="2" t="inlineStr">
        <is>
          <t>Press release</t>
        </is>
      </c>
      <c r="M40" s="2" t="inlineStr">
        <is>
          <t>Lobito Corridor announcement</t>
        </is>
      </c>
      <c r="N40" s="2" t="inlineStr">
        <is>
          <t>H</t>
        </is>
      </c>
      <c r="O40" s="2" t="inlineStr">
        <is>
          <t>Multi-party rail-and-port infrastructure development.</t>
        </is>
      </c>
    </row>
    <row r="41" ht="23.25" customHeight="1" s="16">
      <c r="A41" s="2" t="inlineStr">
        <is>
          <t>Fundo Soberano de Angola (FSDEA)</t>
        </is>
      </c>
      <c r="B41" s="2" t="inlineStr">
        <is>
          <t>Angola</t>
        </is>
      </c>
      <c r="C41" s="2" t="inlineStr">
        <is>
          <t>SWF</t>
        </is>
      </c>
      <c r="D41" s="2" t="inlineStr">
        <is>
          <t>Fund LP (multi)</t>
        </is>
      </c>
      <c r="E41" s="2" t="inlineStr">
        <is>
          <t>Various</t>
        </is>
      </c>
      <c r="F41" s="2" t="inlineStr">
        <is>
          <t>Diversified portfolio incl. private equity funds</t>
        </is>
      </c>
      <c r="G41" s="2" t="inlineStr">
        <is>
          <t>PE / Mixed</t>
        </is>
      </c>
      <c r="H41" s="2" t="inlineStr">
        <is>
          <t>Global + Africa</t>
        </is>
      </c>
      <c r="I41" s="2" t="inlineStr">
        <is>
          <t>ongoing</t>
        </is>
      </c>
      <c r="J41" s="2" t="inlineStr">
        <is>
          <t>Part of USD 3.9bn AUM (Dec 2024)</t>
        </is>
      </c>
      <c r="K41" s="2" t="inlineStr">
        <is>
          <t>USD</t>
        </is>
      </c>
      <c r="L41" s="2" t="inlineStr">
        <is>
          <t>Annual report</t>
        </is>
      </c>
      <c r="M41" s="2" t="inlineStr">
        <is>
          <t>FSDEA / IFSWF disclosures</t>
        </is>
      </c>
      <c r="N41" s="2" t="inlineStr">
        <is>
          <t>M</t>
        </is>
      </c>
      <c r="O41" s="2" t="inlineStr">
        <is>
          <t>FSDEA portfolio includes PE funds among other asset classes; per-fund detail not publicly disclosed.</t>
        </is>
      </c>
    </row>
    <row r="42" ht="23.25" customHeight="1" s="16">
      <c r="A42" s="2" t="inlineStr">
        <is>
          <t>FONSIS</t>
        </is>
      </c>
      <c r="B42" s="2" t="inlineStr">
        <is>
          <t>Senegal</t>
        </is>
      </c>
      <c r="C42" s="2" t="inlineStr">
        <is>
          <t>SWF (strategic)</t>
        </is>
      </c>
      <c r="D42" s="2" t="inlineStr">
        <is>
          <t>Fund LP</t>
        </is>
      </c>
      <c r="E42" s="2" t="inlineStr">
        <is>
          <t>SEAF (Small Enterprise Assistance Funds)</t>
        </is>
      </c>
      <c r="F42" s="2" t="inlineStr">
        <is>
          <t>Oyass Capital</t>
        </is>
      </c>
      <c r="G42" s="2" t="inlineStr">
        <is>
          <t>PE / SME</t>
        </is>
      </c>
      <c r="H42" s="2" t="inlineStr">
        <is>
          <t>Domestic</t>
        </is>
      </c>
      <c r="I42" s="2" t="n">
        <v>2024</v>
      </c>
      <c r="J42" s="2" t="inlineStr">
        <is>
          <t>XOF 50bn (~USD 82m)</t>
        </is>
      </c>
      <c r="K42" s="2" t="inlineStr">
        <is>
          <t>XOF</t>
        </is>
      </c>
      <c r="L42" s="2" t="inlineStr">
        <is>
          <t>Press release</t>
        </is>
      </c>
      <c r="M42" s="2" t="inlineStr">
        <is>
          <t>FONSIS announcement Jan 2024</t>
        </is>
      </c>
      <c r="N42" s="2" t="inlineStr">
        <is>
          <t>H</t>
        </is>
      </c>
      <c r="O42" s="2" t="inlineStr">
        <is>
          <t>FONSIS partnered with KfW (Germany) to launch Oyass Capital for Senegalese SMEs; awarded mgmt mandate to SEAF after intl tender.</t>
        </is>
      </c>
    </row>
    <row r="43" ht="23.25" customHeight="1" s="16">
      <c r="A43" s="2" t="inlineStr">
        <is>
          <t>FONSIS</t>
        </is>
      </c>
      <c r="B43" s="2" t="inlineStr">
        <is>
          <t>Senegal</t>
        </is>
      </c>
      <c r="C43" s="2" t="inlineStr">
        <is>
          <t>SWF (strategic)</t>
        </is>
      </c>
      <c r="D43" s="2" t="inlineStr">
        <is>
          <t>Direct / Co-invest</t>
        </is>
      </c>
      <c r="E43" s="2" t="inlineStr">
        <is>
          <t>Multiple</t>
        </is>
      </c>
      <c r="F43" s="2" t="inlineStr">
        <is>
          <t>Strategic projects portfolio (Teyliom Industries, agribusiness, hospitality)</t>
        </is>
      </c>
      <c r="G43" s="2" t="inlineStr">
        <is>
          <t>Direct</t>
        </is>
      </c>
      <c r="H43" s="2" t="inlineStr">
        <is>
          <t>Domestic</t>
        </is>
      </c>
      <c r="I43" s="2" t="inlineStr">
        <is>
          <t>ongoing</t>
        </is>
      </c>
      <c r="J43" s="2" t="inlineStr">
        <is>
          <t>Not separately disclosed</t>
        </is>
      </c>
      <c r="K43" s="2" t="inlineStr">
        <is>
          <t>XOF</t>
        </is>
      </c>
      <c r="L43" s="2" t="inlineStr">
        <is>
          <t>FONSIS annual report</t>
        </is>
      </c>
      <c r="M43" s="2" t="inlineStr">
        <is>
          <t>FONSIS portfolio disclosures</t>
        </is>
      </c>
      <c r="N43" s="2" t="inlineStr">
        <is>
          <t>H</t>
        </is>
      </c>
      <c r="O43" s="2" t="inlineStr">
        <is>
          <t>FONSIS's primary mandate is direct strategic investment in Senegalese transformational projects.</t>
        </is>
      </c>
    </row>
    <row r="44" ht="23.25" customHeight="1" s="16">
      <c r="A44" s="2" t="inlineStr">
        <is>
          <t>Agaciro Development Fund (AgDF)</t>
        </is>
      </c>
      <c r="B44" s="2" t="inlineStr">
        <is>
          <t>Rwanda</t>
        </is>
      </c>
      <c r="C44" s="2" t="inlineStr">
        <is>
          <t>SWF / Strategic</t>
        </is>
      </c>
      <c r="D44" s="2" t="inlineStr">
        <is>
          <t>Direct equity</t>
        </is>
      </c>
      <c r="E44" s="2" t="inlineStr">
        <is>
          <t>—</t>
        </is>
      </c>
      <c r="F44" s="2" t="inlineStr">
        <is>
          <t>Domestic strategic investments</t>
        </is>
      </c>
      <c r="G44" s="2" t="inlineStr">
        <is>
          <t>Direct</t>
        </is>
      </c>
      <c r="H44" s="2" t="inlineStr">
        <is>
          <t>Domestic</t>
        </is>
      </c>
      <c r="I44" s="2" t="inlineStr">
        <is>
          <t>ongoing</t>
        </is>
      </c>
      <c r="J44" s="2" t="inlineStr">
        <is>
          <t>Part of USD 220m AUM</t>
        </is>
      </c>
      <c r="K44" s="2" t="inlineStr">
        <is>
          <t>RWF</t>
        </is>
      </c>
      <c r="L44" s="2" t="inlineStr">
        <is>
          <t>Annual report</t>
        </is>
      </c>
      <c r="M44" s="2" t="inlineStr">
        <is>
          <t>AgDF disclosures</t>
        </is>
      </c>
      <c r="N44" s="2" t="inlineStr">
        <is>
          <t>M</t>
        </is>
      </c>
      <c r="O44" s="2" t="inlineStr">
        <is>
          <t>AgDF holds equity in selected Rwandan strategic companies.</t>
        </is>
      </c>
    </row>
    <row r="45" ht="23.25" customHeight="1" s="16">
      <c r="A45" s="2" t="inlineStr">
        <is>
          <t>Rwanda Social Security Board (RSSB)</t>
        </is>
      </c>
      <c r="B45" s="2" t="inlineStr">
        <is>
          <t>Rwanda</t>
        </is>
      </c>
      <c r="C45" s="2" t="inlineStr">
        <is>
          <t>Public PF</t>
        </is>
      </c>
      <c r="D45" s="2" t="inlineStr">
        <is>
          <t>Direct equity</t>
        </is>
      </c>
      <c r="E45" s="2" t="inlineStr">
        <is>
          <t>—</t>
        </is>
      </c>
      <c r="F45" s="2" t="inlineStr">
        <is>
          <t>BK Group, RwandAir, other strategic stakes</t>
        </is>
      </c>
      <c r="G45" s="2" t="inlineStr">
        <is>
          <t>Direct</t>
        </is>
      </c>
      <c r="H45" s="2" t="inlineStr">
        <is>
          <t>Domestic</t>
        </is>
      </c>
      <c r="I45" s="2" t="inlineStr">
        <is>
          <t>ongoing</t>
        </is>
      </c>
      <c r="J45" s="2" t="inlineStr">
        <is>
          <t>Not separately disclosed</t>
        </is>
      </c>
      <c r="K45" s="2" t="inlineStr">
        <is>
          <t>RWF</t>
        </is>
      </c>
      <c r="L45" s="2" t="inlineStr">
        <is>
          <t>Annual report</t>
        </is>
      </c>
      <c r="M45" s="2" t="inlineStr">
        <is>
          <t>RSSB disclosures</t>
        </is>
      </c>
      <c r="N45" s="2" t="inlineStr">
        <is>
          <t>H</t>
        </is>
      </c>
      <c r="O45" s="2" t="inlineStr">
        <is>
          <t>RSSB holds significant direct equity in Rwandan strategic enterprises.</t>
        </is>
      </c>
    </row>
    <row r="46" ht="15" customHeight="1" s="16">
      <c r="A46" s="2" t="inlineStr">
        <is>
          <t>Social Security and National Insurance Trust (SSNIT)</t>
        </is>
      </c>
      <c r="B46" s="2" t="inlineStr">
        <is>
          <t>Ghana</t>
        </is>
      </c>
      <c r="C46" s="2" t="inlineStr">
        <is>
          <t>Public PF</t>
        </is>
      </c>
      <c r="D46" s="2" t="inlineStr">
        <is>
          <t>Direct / Mixed alts</t>
        </is>
      </c>
      <c r="E46" s="2" t="inlineStr">
        <is>
          <t>Various</t>
        </is>
      </c>
      <c r="F46" s="2" t="inlineStr">
        <is>
          <t>Alternatives portfolio (real estate, PE, direct equity)</t>
        </is>
      </c>
      <c r="G46" s="2" t="inlineStr">
        <is>
          <t>PE / RE / Direct</t>
        </is>
      </c>
      <c r="H46" s="2" t="inlineStr">
        <is>
          <t>Domestic</t>
        </is>
      </c>
      <c r="I46" s="2" t="n">
        <v>2023</v>
      </c>
      <c r="J46" s="2" t="inlineStr">
        <is>
          <t>GHS 2.1bn (34% of GHS 16.7bn)</t>
        </is>
      </c>
      <c r="K46" s="2" t="inlineStr">
        <is>
          <t>GHS</t>
        </is>
      </c>
      <c r="L46" s="2" t="inlineStr">
        <is>
          <t>Annual report</t>
        </is>
      </c>
      <c r="M46" s="2" t="inlineStr">
        <is>
          <t>SSNIT 2022/23 Annual Report</t>
        </is>
      </c>
      <c r="N46" s="2" t="inlineStr">
        <is>
          <t>H</t>
        </is>
      </c>
      <c r="O46" s="2" t="inlineStr">
        <is>
          <t>34% of portfolio in alts as of 2023; 2024 strategy shift to rebalance toward fixed income announced.</t>
        </is>
      </c>
    </row>
    <row r="47" ht="23.25" customHeight="1" s="16">
      <c r="A47" s="2" t="inlineStr">
        <is>
          <t>Social Security and National Insurance Trust (SSNIT)</t>
        </is>
      </c>
      <c r="B47" s="2" t="inlineStr">
        <is>
          <t>Ghana</t>
        </is>
      </c>
      <c r="C47" s="2" t="inlineStr">
        <is>
          <t>Public PF</t>
        </is>
      </c>
      <c r="D47" s="2" t="inlineStr">
        <is>
          <t>Direct equity</t>
        </is>
      </c>
      <c r="E47" s="2" t="inlineStr">
        <is>
          <t>—</t>
        </is>
      </c>
      <c r="F47" s="2" t="inlineStr">
        <is>
          <t>Direct stakes in Ghanaian banks, agribusiness, real estate</t>
        </is>
      </c>
      <c r="G47" s="2" t="inlineStr">
        <is>
          <t>Direct</t>
        </is>
      </c>
      <c r="H47" s="2" t="inlineStr">
        <is>
          <t>Domestic</t>
        </is>
      </c>
      <c r="I47" s="2" t="inlineStr">
        <is>
          <t>ongoing</t>
        </is>
      </c>
      <c r="J47" s="2" t="inlineStr">
        <is>
          <t>Significant portion of equity portfolio</t>
        </is>
      </c>
      <c r="K47" s="2" t="inlineStr">
        <is>
          <t>GHS</t>
        </is>
      </c>
      <c r="L47" s="2" t="inlineStr">
        <is>
          <t>Annual report</t>
        </is>
      </c>
      <c r="M47" s="2" t="inlineStr">
        <is>
          <t>SSNIT disclosures</t>
        </is>
      </c>
      <c r="N47" s="2" t="inlineStr">
        <is>
          <t>H</t>
        </is>
      </c>
      <c r="O47" s="2" t="inlineStr">
        <is>
          <t>Significant historic direct-equity holdings in listed and unlisted Ghanaian firms.</t>
        </is>
      </c>
    </row>
    <row r="48" ht="23.25" customHeight="1" s="16">
      <c r="A48" s="2" t="inlineStr">
        <is>
          <t>Ghana Infrastructure Investment Fund (GIIF)</t>
        </is>
      </c>
      <c r="B48" s="2" t="inlineStr">
        <is>
          <t>Ghana</t>
        </is>
      </c>
      <c r="C48" s="2" t="inlineStr">
        <is>
          <t>SWF (infra)</t>
        </is>
      </c>
      <c r="D48" s="2" t="inlineStr">
        <is>
          <t>Direct / Co-invest</t>
        </is>
      </c>
      <c r="E48" s="2" t="inlineStr">
        <is>
          <t>Various</t>
        </is>
      </c>
      <c r="F48" s="2" t="inlineStr">
        <is>
          <t>Domestic infrastructure deals (toll roads, energy, water)</t>
        </is>
      </c>
      <c r="G48" s="2" t="inlineStr">
        <is>
          <t>Direct / Infra</t>
        </is>
      </c>
      <c r="H48" s="2" t="inlineStr">
        <is>
          <t>Domestic</t>
        </is>
      </c>
      <c r="I48" s="2" t="inlineStr">
        <is>
          <t>ongoing</t>
        </is>
      </c>
      <c r="J48" s="2" t="inlineStr">
        <is>
          <t>Part of USD 400m AUM</t>
        </is>
      </c>
      <c r="K48" s="2" t="inlineStr">
        <is>
          <t>USD</t>
        </is>
      </c>
      <c r="L48" s="2" t="inlineStr">
        <is>
          <t>Annual report</t>
        </is>
      </c>
      <c r="M48" s="2" t="inlineStr">
        <is>
          <t>GIIF disclosures</t>
        </is>
      </c>
      <c r="N48" s="2" t="inlineStr">
        <is>
          <t>M</t>
        </is>
      </c>
      <c r="O48" s="2" t="inlineStr">
        <is>
          <t>Domestic infrastructure direct-deal mandate.</t>
        </is>
      </c>
    </row>
    <row r="49" ht="23.25" customHeight="1" s="16">
      <c r="A49" s="2" t="inlineStr">
        <is>
          <t>FGIS</t>
        </is>
      </c>
      <c r="B49" s="2" t="inlineStr">
        <is>
          <t>Gabon</t>
        </is>
      </c>
      <c r="C49" s="2" t="inlineStr">
        <is>
          <t>SWF (strategic)</t>
        </is>
      </c>
      <c r="D49" s="2" t="inlineStr">
        <is>
          <t>Direct equity</t>
        </is>
      </c>
      <c r="E49" s="2" t="inlineStr">
        <is>
          <t>—</t>
        </is>
      </c>
      <c r="F49" s="2" t="inlineStr">
        <is>
          <t>Gabonese financial and infra stakes</t>
        </is>
      </c>
      <c r="G49" s="2" t="inlineStr">
        <is>
          <t>Direct / Mixed</t>
        </is>
      </c>
      <c r="H49" s="2" t="inlineStr">
        <is>
          <t>Domestic + regional</t>
        </is>
      </c>
      <c r="I49" s="2" t="inlineStr">
        <is>
          <t>ongoing</t>
        </is>
      </c>
      <c r="J49" s="2" t="inlineStr">
        <is>
          <t>Not separately disclosed</t>
        </is>
      </c>
      <c r="K49" s="2" t="inlineStr">
        <is>
          <t>XAF</t>
        </is>
      </c>
      <c r="L49" s="2" t="inlineStr">
        <is>
          <t>Annual report</t>
        </is>
      </c>
      <c r="M49" s="2" t="inlineStr">
        <is>
          <t>FGIS disclosures</t>
        </is>
      </c>
      <c r="N49" s="2" t="inlineStr">
        <is>
          <t>M</t>
        </is>
      </c>
      <c r="O49" s="2" t="inlineStr">
        <is>
          <t>FGIS has built equity stakes in Gabonese banking and infrastructure.</t>
        </is>
      </c>
    </row>
    <row r="50" ht="23.25" customHeight="1" s="16">
      <c r="A50" s="2" t="inlineStr">
        <is>
          <t>FSD Djibouti</t>
        </is>
      </c>
      <c r="B50" s="2" t="inlineStr">
        <is>
          <t>Djibouti</t>
        </is>
      </c>
      <c r="C50" s="2" t="inlineStr">
        <is>
          <t>SWF (strategic)</t>
        </is>
      </c>
      <c r="D50" s="2" t="inlineStr">
        <is>
          <t>Co-invest / Platform</t>
        </is>
      </c>
      <c r="E50" s="2" t="inlineStr">
        <is>
          <t>Various</t>
        </is>
      </c>
      <c r="F50" s="2" t="inlineStr">
        <is>
          <t>Domestic strategic partnerships</t>
        </is>
      </c>
      <c r="G50" s="2" t="inlineStr">
        <is>
          <t>Direct / Infra</t>
        </is>
      </c>
      <c r="H50" s="2" t="inlineStr">
        <is>
          <t>Domestic</t>
        </is>
      </c>
      <c r="I50" s="2" t="inlineStr">
        <is>
          <t>ongoing</t>
        </is>
      </c>
      <c r="J50" s="2" t="inlineStr">
        <is>
          <t>Not separately disclosed</t>
        </is>
      </c>
      <c r="K50" s="2" t="inlineStr">
        <is>
          <t>USD</t>
        </is>
      </c>
      <c r="L50" s="2" t="inlineStr">
        <is>
          <t>Press releases</t>
        </is>
      </c>
      <c r="M50" s="2" t="inlineStr">
        <is>
          <t>FSD disclosures</t>
        </is>
      </c>
      <c r="N50" s="2" t="inlineStr">
        <is>
          <t>M</t>
        </is>
      </c>
      <c r="O50" s="2" t="inlineStr">
        <is>
          <t>Mandate includes strategic co-investments.</t>
        </is>
      </c>
    </row>
    <row r="51" ht="15" customHeight="1" s="16">
      <c r="A51" s="2" t="inlineStr">
        <is>
          <t>Axis Pension Trust</t>
        </is>
      </c>
      <c r="B51" s="2" t="inlineStr">
        <is>
          <t>Ghana</t>
        </is>
      </c>
      <c r="C51" s="2" t="inlineStr">
        <is>
          <t>Tier 2/3 corporate trustee</t>
        </is>
      </c>
      <c r="D51" s="2" t="inlineStr">
        <is>
          <t>Fund LP / Co-investor</t>
        </is>
      </c>
      <c r="E51" s="2" t="inlineStr">
        <is>
          <t>Growth Investment Partners (GIP) – BII platform</t>
        </is>
      </c>
      <c r="F51" s="2" t="inlineStr">
        <is>
          <t>Growth Investment Partners Ghana</t>
        </is>
      </c>
      <c r="G51" s="2" t="inlineStr">
        <is>
          <t>Private credit / SME debt</t>
        </is>
      </c>
      <c r="H51" s="2" t="inlineStr">
        <is>
          <t>Domestic (Ghana)</t>
        </is>
      </c>
      <c r="I51" s="2" t="n">
        <v>2026</v>
      </c>
      <c r="J51" s="2" t="inlineStr">
        <is>
          <t>USD 5m</t>
        </is>
      </c>
      <c r="K51" s="2" t="inlineStr">
        <is>
          <t>USD</t>
        </is>
      </c>
      <c r="L51" s="2" t="inlineStr">
        <is>
          <t>Press release / trade press</t>
        </is>
      </c>
      <c r="M51" s="2" t="inlineStr">
        <is>
          <t>BII / Axis Pension Trust / Norfund joint announcement April 2026</t>
        </is>
      </c>
      <c r="N51" s="2" t="inlineStr">
        <is>
          <t>H</t>
        </is>
      </c>
      <c r="O51" s="2" t="inlineStr">
        <is>
          <t>First disclosed Ghanaian pension trustee commitment to SME debt under Ghana's new 5% alternative-assets rule. Co-committed alongside Norfund (USD 15m); GIP capital base raised to ~USD 70m.</t>
        </is>
      </c>
    </row>
    <row r="52" ht="15" customHeight="1" s="16">
      <c r="A52" s="2" t="inlineStr">
        <is>
          <t>Axis Pension Trust</t>
        </is>
      </c>
      <c r="B52" s="2" t="inlineStr">
        <is>
          <t>Ghana</t>
        </is>
      </c>
      <c r="C52" s="2" t="inlineStr">
        <is>
          <t>Tier 2/3 corporate trustee</t>
        </is>
      </c>
      <c r="D52" s="2" t="inlineStr">
        <is>
          <t>Fund LP</t>
        </is>
      </c>
      <c r="E52" s="2" t="inlineStr">
        <is>
          <t>Savannah Impact Advisory (Manager)</t>
        </is>
      </c>
      <c r="F52" s="2" t="inlineStr">
        <is>
          <t>Ci Gaba Fund of Funds</t>
        </is>
      </c>
      <c r="G52" s="2" t="inlineStr">
        <is>
          <t>Fund of funds (PE / VC / Private credit)</t>
        </is>
      </c>
      <c r="H52" s="2" t="inlineStr">
        <is>
          <t>Ghana + Nigeria + Senegal + Côte d'Ivoire</t>
        </is>
      </c>
      <c r="I52" s="2" t="n">
        <v>2026</v>
      </c>
      <c r="J52" s="2" t="inlineStr">
        <is>
          <t>Share of GHS 383m (USD 35m) first close</t>
        </is>
      </c>
      <c r="K52" s="2" t="inlineStr">
        <is>
          <t>GHS</t>
        </is>
      </c>
      <c r="L52" s="2" t="inlineStr">
        <is>
          <t>Press release / trade press</t>
        </is>
      </c>
      <c r="M52" s="2" t="inlineStr">
        <is>
          <t>Ci Gaba FoF first close March 2026</t>
        </is>
      </c>
      <c r="N52" s="2" t="inlineStr">
        <is>
          <t>H</t>
        </is>
      </c>
      <c r="O52" s="2" t="inlineStr">
        <is>
          <t>Ghanaian pension capital is &gt;2/3 of Ci Gaba's first-close commitments. West Africa's first domestically-domiciled private fund of funds; target size GHS 1bn / USD 91m.</t>
        </is>
      </c>
    </row>
    <row r="53" ht="34.5" customHeight="1" s="16">
      <c r="A53" s="2" t="inlineStr">
        <is>
          <t>Enterprise Trustees Limited</t>
        </is>
      </c>
      <c r="B53" s="2" t="inlineStr">
        <is>
          <t>Ghana</t>
        </is>
      </c>
      <c r="C53" s="2" t="inlineStr">
        <is>
          <t>Tier 2/3 corporate trustee</t>
        </is>
      </c>
      <c r="D53" s="2" t="inlineStr">
        <is>
          <t>Fund LP</t>
        </is>
      </c>
      <c r="E53" s="2" t="inlineStr">
        <is>
          <t>Savannah Impact Advisory (Manager)</t>
        </is>
      </c>
      <c r="F53" s="2" t="inlineStr">
        <is>
          <t>Ci Gaba Fund of Funds</t>
        </is>
      </c>
      <c r="G53" s="2" t="inlineStr">
        <is>
          <t>Fund of funds (PE / VC / Private credit)</t>
        </is>
      </c>
      <c r="H53" s="2" t="inlineStr">
        <is>
          <t>Ghana + Nigeria + Senegal + Côte d'Ivoire</t>
        </is>
      </c>
      <c r="I53" s="2" t="n">
        <v>2026</v>
      </c>
      <c r="J53" s="2" t="inlineStr">
        <is>
          <t>Share of GHS 383m (USD 35m) first close</t>
        </is>
      </c>
      <c r="K53" s="2" t="inlineStr">
        <is>
          <t>GHS</t>
        </is>
      </c>
      <c r="L53" s="2" t="inlineStr">
        <is>
          <t>Press release / trade press</t>
        </is>
      </c>
      <c r="M53" s="2" t="inlineStr">
        <is>
          <t>Ci Gaba FoF first close March 2026</t>
        </is>
      </c>
      <c r="N53" s="2" t="inlineStr">
        <is>
          <t>H</t>
        </is>
      </c>
      <c r="O53" s="2" t="inlineStr">
        <is>
          <t>One of Ghana's largest private trustees; LP alongside AXIS, Stanbic IMS, CAL Asset Management, FSDAi, Small Foundation, FMO.</t>
        </is>
      </c>
    </row>
    <row r="54" ht="23.25" customHeight="1" s="16">
      <c r="A54" s="2" t="inlineStr">
        <is>
          <t>PIC (South Africa)</t>
        </is>
      </c>
      <c r="B54" s="2" t="inlineStr">
        <is>
          <t>South Africa</t>
        </is>
      </c>
      <c r="C54" s="2" t="inlineStr">
        <is>
          <t>Public PF (via mgr)</t>
        </is>
      </c>
      <c r="D54" s="2" t="inlineStr">
        <is>
          <t>Direct equity (shareholder)</t>
        </is>
      </c>
      <c r="E54" s="2" t="inlineStr">
        <is>
          <t>Africa Finance Corporation (AFC)</t>
        </is>
      </c>
      <c r="F54" s="2" t="inlineStr">
        <is>
          <t>AFC equity stake</t>
        </is>
      </c>
      <c r="G54" s="2" t="inlineStr">
        <is>
          <t>Infrastructure / Multilateral</t>
        </is>
      </c>
      <c r="H54" s="2" t="inlineStr">
        <is>
          <t>Pan-Africa</t>
        </is>
      </c>
      <c r="I54" s="2" t="n">
        <v>2022</v>
      </c>
      <c r="J54" s="2" t="inlineStr">
        <is>
          <t>USD 100m</t>
        </is>
      </c>
      <c r="K54" s="2" t="inlineStr">
        <is>
          <t>USD</t>
        </is>
      </c>
      <c r="L54" s="2" t="inlineStr">
        <is>
          <t>Press release</t>
        </is>
      </c>
      <c r="M54" s="2" t="inlineStr">
        <is>
          <t>AFC announcement of PIC $100m equity investment Dec 2022</t>
        </is>
      </c>
      <c r="N54" s="2" t="inlineStr">
        <is>
          <t>H</t>
        </is>
      </c>
      <c r="O54" s="2" t="inlineStr">
        <is>
          <t>Separate from the 2025 PIC-Africa50 commitment. PIC's largest disclosed pan-African institutional equity position.</t>
        </is>
      </c>
    </row>
    <row r="55" ht="23.25" customHeight="1" s="16">
      <c r="A55" s="2" t="inlineStr">
        <is>
          <t>Seychelles Pension Fund</t>
        </is>
      </c>
      <c r="B55" s="2" t="inlineStr">
        <is>
          <t>Seychelles</t>
        </is>
      </c>
      <c r="C55" s="2" t="inlineStr">
        <is>
          <t>Public PF</t>
        </is>
      </c>
      <c r="D55" s="2" t="inlineStr">
        <is>
          <t>Direct equity (shareholder)</t>
        </is>
      </c>
      <c r="E55" s="2" t="inlineStr">
        <is>
          <t>Africa Finance Corporation (AFC)</t>
        </is>
      </c>
      <c r="F55" s="2" t="inlineStr">
        <is>
          <t>AFC equity stake</t>
        </is>
      </c>
      <c r="G55" s="2" t="inlineStr">
        <is>
          <t>Infrastructure / Multilateral</t>
        </is>
      </c>
      <c r="H55" s="2" t="inlineStr">
        <is>
          <t>Pan-Africa</t>
        </is>
      </c>
      <c r="I55" s="2" t="inlineStr">
        <is>
          <t>various</t>
        </is>
      </c>
      <c r="J55" s="2" t="inlineStr">
        <is>
          <t>Part of USD 35.5m group commitment</t>
        </is>
      </c>
      <c r="K55" s="2" t="inlineStr">
        <is>
          <t>USD</t>
        </is>
      </c>
      <c r="L55" s="2" t="inlineStr">
        <is>
          <t>Press release</t>
        </is>
      </c>
      <c r="M55" s="2" t="inlineStr">
        <is>
          <t>AFC press release on Indian Ocean shareholders</t>
        </is>
      </c>
      <c r="N55" s="2" t="inlineStr">
        <is>
          <t>H</t>
        </is>
      </c>
      <c r="O55" s="2" t="inlineStr">
        <is>
          <t>First Indian Ocean shareholder of AFC; joined with Sierra Leone and GIIF Ghana.</t>
        </is>
      </c>
    </row>
    <row r="56" ht="23.25" customHeight="1" s="16">
      <c r="A56" s="2" t="inlineStr">
        <is>
          <t>Ghana Infrastructure Investment Fund (GIIF)</t>
        </is>
      </c>
      <c r="B56" s="2" t="inlineStr">
        <is>
          <t>Ghana</t>
        </is>
      </c>
      <c r="C56" s="2" t="inlineStr">
        <is>
          <t>SWF (infra)</t>
        </is>
      </c>
      <c r="D56" s="2" t="inlineStr">
        <is>
          <t>Direct equity (shareholder)</t>
        </is>
      </c>
      <c r="E56" s="2" t="inlineStr">
        <is>
          <t>Africa Finance Corporation (AFC)</t>
        </is>
      </c>
      <c r="F56" s="2" t="inlineStr">
        <is>
          <t>AFC equity stake</t>
        </is>
      </c>
      <c r="G56" s="2" t="inlineStr">
        <is>
          <t>Infrastructure / Multilateral</t>
        </is>
      </c>
      <c r="H56" s="2" t="inlineStr">
        <is>
          <t>Pan-Africa</t>
        </is>
      </c>
      <c r="I56" s="2" t="inlineStr">
        <is>
          <t>various</t>
        </is>
      </c>
      <c r="J56" s="2" t="inlineStr">
        <is>
          <t>Part of USD 35.5m group commitment</t>
        </is>
      </c>
      <c r="K56" s="2" t="inlineStr">
        <is>
          <t>USD</t>
        </is>
      </c>
      <c r="L56" s="2" t="inlineStr">
        <is>
          <t>Press release</t>
        </is>
      </c>
      <c r="M56" s="2" t="inlineStr">
        <is>
          <t>AFC press release on Ghana/Sierra Leone/Seychelles shareholders</t>
        </is>
      </c>
      <c r="N56" s="2" t="inlineStr">
        <is>
          <t>H</t>
        </is>
      </c>
      <c r="O56" s="2" t="inlineStr">
        <is>
          <t>GIIF deploys its own balance sheet into AFC; aligns with GIIF's domestic-infra mandate.</t>
        </is>
      </c>
    </row>
    <row r="57" ht="34.5" customHeight="1" s="16">
      <c r="A57" s="2" t="inlineStr">
        <is>
          <t>National Pension Fund (NPF) Mauritius</t>
        </is>
      </c>
      <c r="B57" s="2" t="inlineStr">
        <is>
          <t>Mauritius</t>
        </is>
      </c>
      <c r="C57" s="2" t="inlineStr">
        <is>
          <t>Public PF</t>
        </is>
      </c>
      <c r="D57" s="2" t="inlineStr">
        <is>
          <t>Direct equity (shareholder)</t>
        </is>
      </c>
      <c r="E57" s="2" t="inlineStr">
        <is>
          <t>Africa Finance Corporation (AFC)</t>
        </is>
      </c>
      <c r="F57" s="2" t="inlineStr">
        <is>
          <t>AFC equity stake</t>
        </is>
      </c>
      <c r="G57" s="2" t="inlineStr">
        <is>
          <t>Infrastructure / Multilateral</t>
        </is>
      </c>
      <c r="H57" s="2" t="inlineStr">
        <is>
          <t>Pan-Africa</t>
        </is>
      </c>
      <c r="I57" s="2" t="inlineStr">
        <is>
          <t>various</t>
        </is>
      </c>
      <c r="J57" s="2" t="inlineStr">
        <is>
          <t>Not separately disclosed</t>
        </is>
      </c>
      <c r="K57" s="2" t="inlineStr">
        <is>
          <t>USD</t>
        </is>
      </c>
      <c r="L57" s="2" t="inlineStr">
        <is>
          <t>Press release</t>
        </is>
      </c>
      <c r="M57" s="2" t="inlineStr">
        <is>
          <t>AFC press release on Côte d'Ivoire / Mauritius shareholders</t>
        </is>
      </c>
      <c r="N57" s="2" t="inlineStr">
        <is>
          <t>H</t>
        </is>
      </c>
      <c r="O57" s="2" t="inlineStr">
        <is>
          <t>Mauritius participates via NPF and NSF jointly.</t>
        </is>
      </c>
    </row>
    <row r="58" ht="34.5" customHeight="1" s="16">
      <c r="A58" s="2" t="inlineStr">
        <is>
          <t>National Savings Fund (NSF) Mauritius</t>
        </is>
      </c>
      <c r="B58" s="2" t="inlineStr">
        <is>
          <t>Mauritius</t>
        </is>
      </c>
      <c r="C58" s="2" t="inlineStr">
        <is>
          <t>Public PF</t>
        </is>
      </c>
      <c r="D58" s="2" t="inlineStr">
        <is>
          <t>Direct equity (shareholder)</t>
        </is>
      </c>
      <c r="E58" s="2" t="inlineStr">
        <is>
          <t>Africa Finance Corporation (AFC)</t>
        </is>
      </c>
      <c r="F58" s="2" t="inlineStr">
        <is>
          <t>AFC equity stake</t>
        </is>
      </c>
      <c r="G58" s="2" t="inlineStr">
        <is>
          <t>Infrastructure / Multilateral</t>
        </is>
      </c>
      <c r="H58" s="2" t="inlineStr">
        <is>
          <t>Pan-Africa</t>
        </is>
      </c>
      <c r="I58" s="2" t="inlineStr">
        <is>
          <t>various</t>
        </is>
      </c>
      <c r="J58" s="2" t="inlineStr">
        <is>
          <t>Not separately disclosed</t>
        </is>
      </c>
      <c r="K58" s="2" t="inlineStr">
        <is>
          <t>USD</t>
        </is>
      </c>
      <c r="L58" s="2" t="inlineStr">
        <is>
          <t>Press release</t>
        </is>
      </c>
      <c r="M58" s="2" t="inlineStr">
        <is>
          <t>AFC press release on Mauritius shareholders</t>
        </is>
      </c>
      <c r="N58" s="2" t="inlineStr">
        <is>
          <t>H</t>
        </is>
      </c>
      <c r="O58" s="2" t="inlineStr">
        <is>
          <t>Joint Mauritian participation alongside NPF.</t>
        </is>
      </c>
    </row>
    <row r="59" ht="23.25" customHeight="1" s="16">
      <c r="A59" s="2" t="inlineStr">
        <is>
          <t>CNPS Cameroon</t>
        </is>
      </c>
      <c r="B59" s="2" t="inlineStr">
        <is>
          <t>Cameroon</t>
        </is>
      </c>
      <c r="C59" s="2" t="inlineStr">
        <is>
          <t>Public PF</t>
        </is>
      </c>
      <c r="D59" s="2" t="inlineStr">
        <is>
          <t>Direct equity (shareholder)</t>
        </is>
      </c>
      <c r="E59" s="2" t="inlineStr">
        <is>
          <t>Africa Finance Corporation (AFC)</t>
        </is>
      </c>
      <c r="F59" s="2" t="inlineStr">
        <is>
          <t>AFC equity stake</t>
        </is>
      </c>
      <c r="G59" s="2" t="inlineStr">
        <is>
          <t>Infrastructure / Multilateral</t>
        </is>
      </c>
      <c r="H59" s="2" t="inlineStr">
        <is>
          <t>Pan-Africa</t>
        </is>
      </c>
      <c r="I59" s="2" t="inlineStr">
        <is>
          <t>various</t>
        </is>
      </c>
      <c r="J59" s="2" t="inlineStr">
        <is>
          <t>Not separately disclosed</t>
        </is>
      </c>
      <c r="K59" s="2" t="inlineStr">
        <is>
          <t>USD</t>
        </is>
      </c>
      <c r="L59" s="2" t="inlineStr">
        <is>
          <t>Press release</t>
        </is>
      </c>
      <c r="M59" s="2" t="inlineStr">
        <is>
          <t>Business in Cameroon — CNPS Cameroon joins AFC as shareholder</t>
        </is>
      </c>
      <c r="N59" s="2" t="inlineStr">
        <is>
          <t>H</t>
        </is>
      </c>
      <c r="O59" s="2" t="inlineStr">
        <is>
          <t>First Central African pension fund to take AFC equity. Important precedent for CIPRES-supervised funds.</t>
        </is>
      </c>
    </row>
    <row r="60" ht="34.5" customHeight="1" s="16">
      <c r="A60" s="2" t="inlineStr">
        <is>
          <t>CDC Gabon (State pension fund of Gabon)</t>
        </is>
      </c>
      <c r="B60" s="2" t="inlineStr">
        <is>
          <t>Gabon</t>
        </is>
      </c>
      <c r="C60" s="2" t="inlineStr">
        <is>
          <t>Civil-service PF</t>
        </is>
      </c>
      <c r="D60" s="2" t="inlineStr">
        <is>
          <t>Direct equity (shareholder)</t>
        </is>
      </c>
      <c r="E60" s="2" t="inlineStr">
        <is>
          <t>Africa Finance Corporation (AFC)</t>
        </is>
      </c>
      <c r="F60" s="2" t="inlineStr">
        <is>
          <t>AFC equity stake</t>
        </is>
      </c>
      <c r="G60" s="2" t="inlineStr">
        <is>
          <t>Infrastructure / Multilateral</t>
        </is>
      </c>
      <c r="H60" s="2" t="inlineStr">
        <is>
          <t>Pan-Africa</t>
        </is>
      </c>
      <c r="I60" s="2" t="inlineStr">
        <is>
          <t>various</t>
        </is>
      </c>
      <c r="J60" s="2" t="inlineStr">
        <is>
          <t>Not separately disclosed</t>
        </is>
      </c>
      <c r="K60" s="2" t="inlineStr">
        <is>
          <t>USD</t>
        </is>
      </c>
      <c r="L60" s="2" t="inlineStr">
        <is>
          <t>Press release</t>
        </is>
      </c>
      <c r="M60" s="2" t="inlineStr">
        <is>
          <t>AFC equity-shareholder list</t>
        </is>
      </c>
      <c r="N60" s="2" t="inlineStr">
        <is>
          <t>H</t>
        </is>
      </c>
      <c r="O60" s="2" t="inlineStr">
        <is>
          <t>Distinct from CNSS Gabon and FGIS. NEW entity vs Phase 1 roster — should be added to Pension Funds tab.</t>
        </is>
      </c>
    </row>
    <row r="61" ht="23.25" customHeight="1" s="16">
      <c r="A61" s="2" t="inlineStr">
        <is>
          <t>Government of Côte d'Ivoire</t>
        </is>
      </c>
      <c r="B61" s="2" t="inlineStr">
        <is>
          <t>Côte d'Ivoire</t>
        </is>
      </c>
      <c r="C61" s="2" t="inlineStr">
        <is>
          <t>Sovereign</t>
        </is>
      </c>
      <c r="D61" s="2" t="inlineStr">
        <is>
          <t>Direct equity (shareholder)</t>
        </is>
      </c>
      <c r="E61" s="2" t="inlineStr">
        <is>
          <t>Africa Finance Corporation (AFC)</t>
        </is>
      </c>
      <c r="F61" s="2" t="inlineStr">
        <is>
          <t>AFC equity stake</t>
        </is>
      </c>
      <c r="G61" s="2" t="inlineStr">
        <is>
          <t>Infrastructure / Multilateral</t>
        </is>
      </c>
      <c r="H61" s="2" t="inlineStr">
        <is>
          <t>Pan-Africa</t>
        </is>
      </c>
      <c r="I61" s="2" t="inlineStr">
        <is>
          <t>various</t>
        </is>
      </c>
      <c r="J61" s="2" t="inlineStr">
        <is>
          <t>Not separately disclosed</t>
        </is>
      </c>
      <c r="K61" s="2" t="inlineStr">
        <is>
          <t>USD</t>
        </is>
      </c>
      <c r="L61" s="2" t="inlineStr">
        <is>
          <t>Press release</t>
        </is>
      </c>
      <c r="M61" s="2" t="inlineStr">
        <is>
          <t>AFC press release on Côte d'Ivoire / Mauritius shareholders</t>
        </is>
      </c>
      <c r="N61" s="2" t="inlineStr">
        <is>
          <t>H</t>
        </is>
      </c>
      <c r="O61" s="2" t="inlineStr">
        <is>
          <t>Ivorian sovereign equity participation.</t>
        </is>
      </c>
    </row>
    <row r="62" ht="23.25" customHeight="1" s="16">
      <c r="A62" s="2" t="inlineStr">
        <is>
          <t>Government of Sierra Leone</t>
        </is>
      </c>
      <c r="B62" s="2" t="inlineStr">
        <is>
          <t>Sierra Leone</t>
        </is>
      </c>
      <c r="C62" s="2" t="inlineStr">
        <is>
          <t>Sovereign</t>
        </is>
      </c>
      <c r="D62" s="2" t="inlineStr">
        <is>
          <t>Direct equity (shareholder)</t>
        </is>
      </c>
      <c r="E62" s="2" t="inlineStr">
        <is>
          <t>Africa Finance Corporation (AFC)</t>
        </is>
      </c>
      <c r="F62" s="2" t="inlineStr">
        <is>
          <t>AFC equity stake</t>
        </is>
      </c>
      <c r="G62" s="2" t="inlineStr">
        <is>
          <t>Infrastructure / Multilateral</t>
        </is>
      </c>
      <c r="H62" s="2" t="inlineStr">
        <is>
          <t>Pan-Africa</t>
        </is>
      </c>
      <c r="I62" s="2" t="inlineStr">
        <is>
          <t>various</t>
        </is>
      </c>
      <c r="J62" s="2" t="inlineStr">
        <is>
          <t>Part of USD 35.5m group commitment</t>
        </is>
      </c>
      <c r="K62" s="2" t="inlineStr">
        <is>
          <t>USD</t>
        </is>
      </c>
      <c r="L62" s="2" t="inlineStr">
        <is>
          <t>Press release</t>
        </is>
      </c>
      <c r="M62" s="2" t="inlineStr">
        <is>
          <t>AFC press release</t>
        </is>
      </c>
      <c r="N62" s="2" t="inlineStr">
        <is>
          <t>H</t>
        </is>
      </c>
      <c r="O62" s="2" t="n"/>
    </row>
    <row r="63" ht="23.25" customHeight="1" s="16">
      <c r="A63" s="2" t="inlineStr">
        <is>
          <t>Government of Egypt</t>
        </is>
      </c>
      <c r="B63" s="2" t="inlineStr">
        <is>
          <t>Egypt</t>
        </is>
      </c>
      <c r="C63" s="2" t="inlineStr">
        <is>
          <t>Sovereign</t>
        </is>
      </c>
      <c r="D63" s="2" t="inlineStr">
        <is>
          <t>Direct equity (shareholder)</t>
        </is>
      </c>
      <c r="E63" s="2" t="inlineStr">
        <is>
          <t>Africa Finance Corporation (AFC)</t>
        </is>
      </c>
      <c r="F63" s="2" t="inlineStr">
        <is>
          <t>AFC equity stake</t>
        </is>
      </c>
      <c r="G63" s="2" t="inlineStr">
        <is>
          <t>Infrastructure / Multilateral</t>
        </is>
      </c>
      <c r="H63" s="2" t="inlineStr">
        <is>
          <t>Pan-Africa</t>
        </is>
      </c>
      <c r="I63" s="2" t="n">
        <v>2024</v>
      </c>
      <c r="J63" s="2" t="inlineStr">
        <is>
          <t>Not separately disclosed</t>
        </is>
      </c>
      <c r="K63" s="2" t="inlineStr">
        <is>
          <t>USD</t>
        </is>
      </c>
      <c r="L63" s="2" t="inlineStr">
        <is>
          <t>Press release</t>
        </is>
      </c>
      <c r="M63" s="2" t="inlineStr">
        <is>
          <t>AFC – Egypt becomes first North African shareholder (2024)</t>
        </is>
      </c>
      <c r="N63" s="2" t="inlineStr">
        <is>
          <t>H</t>
        </is>
      </c>
      <c r="O63" s="2" t="inlineStr">
        <is>
          <t>First North African shareholder of AFC; widens TSFE-NOSI Egypt's institutional alts footprint outside the country.</t>
        </is>
      </c>
    </row>
    <row r="64" ht="23.25" customHeight="1" s="16">
      <c r="A64" s="2" t="inlineStr">
        <is>
          <t>CDC Sénégal</t>
        </is>
      </c>
      <c r="B64" s="2" t="inlineStr">
        <is>
          <t>Senegal</t>
        </is>
      </c>
      <c r="C64" s="2" t="inlineStr">
        <is>
          <t>Civil-service PF / Sovereign</t>
        </is>
      </c>
      <c r="D64" s="2" t="inlineStr">
        <is>
          <t>Fund LP</t>
        </is>
      </c>
      <c r="E64" s="2" t="inlineStr">
        <is>
          <t>Africa50</t>
        </is>
      </c>
      <c r="F64" s="2" t="inlineStr">
        <is>
          <t>Africa50 Infrastructure Acceleration Fund (IAF)</t>
        </is>
      </c>
      <c r="G64" s="2" t="inlineStr">
        <is>
          <t>Infrastructure</t>
        </is>
      </c>
      <c r="H64" s="2" t="inlineStr">
        <is>
          <t>Pan-Africa</t>
        </is>
      </c>
      <c r="I64" s="2" t="n">
        <v>2024</v>
      </c>
      <c r="J64" s="2" t="inlineStr">
        <is>
          <t>Part of USD 222.5m first close (&gt;USD 275m mobilised)</t>
        </is>
      </c>
      <c r="K64" s="2" t="inlineStr">
        <is>
          <t>USD</t>
        </is>
      </c>
      <c r="L64" s="2" t="inlineStr">
        <is>
          <t>Press release</t>
        </is>
      </c>
      <c r="M64" s="2" t="inlineStr">
        <is>
          <t>Africa50 IAF first-close announcement</t>
        </is>
      </c>
      <c r="N64" s="2" t="inlineStr">
        <is>
          <t>H</t>
        </is>
      </c>
      <c r="O64" s="2" t="inlineStr">
        <is>
          <t>Distinct from FONSIS; Senegal's civil-service deposit institution. Africa50-IAF was named 'African first' as it was majority African-LP funded.</t>
        </is>
      </c>
    </row>
    <row r="65" ht="23.25" customHeight="1" s="16">
      <c r="A65" s="2" t="inlineStr">
        <is>
          <t>CDC Benin</t>
        </is>
      </c>
      <c r="B65" s="2" t="inlineStr">
        <is>
          <t>Benin</t>
        </is>
      </c>
      <c r="C65" s="2" t="inlineStr">
        <is>
          <t>Civil-service PF / Sovereign</t>
        </is>
      </c>
      <c r="D65" s="2" t="inlineStr">
        <is>
          <t>Fund LP</t>
        </is>
      </c>
      <c r="E65" s="2" t="inlineStr">
        <is>
          <t>Africa50</t>
        </is>
      </c>
      <c r="F65" s="2" t="inlineStr">
        <is>
          <t>Africa50 Infrastructure Acceleration Fund (IAF)</t>
        </is>
      </c>
      <c r="G65" s="2" t="inlineStr">
        <is>
          <t>Infrastructure</t>
        </is>
      </c>
      <c r="H65" s="2" t="inlineStr">
        <is>
          <t>Pan-Africa</t>
        </is>
      </c>
      <c r="I65" s="2" t="n">
        <v>2024</v>
      </c>
      <c r="J65" s="2" t="inlineStr">
        <is>
          <t>Part of Africa50-IAF first close</t>
        </is>
      </c>
      <c r="K65" s="2" t="inlineStr">
        <is>
          <t>USD</t>
        </is>
      </c>
      <c r="L65" s="2" t="inlineStr">
        <is>
          <t>Press release</t>
        </is>
      </c>
      <c r="M65" s="2" t="inlineStr">
        <is>
          <t>Africa50 IAF first-close announcement</t>
        </is>
      </c>
      <c r="N65" s="2" t="inlineStr">
        <is>
          <t>H</t>
        </is>
      </c>
      <c r="O65" s="2" t="inlineStr">
        <is>
          <t>Beninese deposit-and-investment institution joining Africa50-IAF.</t>
        </is>
      </c>
    </row>
    <row r="66" ht="23.25" customHeight="1" s="16">
      <c r="A66" s="2" t="inlineStr">
        <is>
          <t>CNSS Togo</t>
        </is>
      </c>
      <c r="B66" s="2" t="inlineStr">
        <is>
          <t>Togo</t>
        </is>
      </c>
      <c r="C66" s="2" t="inlineStr">
        <is>
          <t>Public PF</t>
        </is>
      </c>
      <c r="D66" s="2" t="inlineStr">
        <is>
          <t>Fund LP</t>
        </is>
      </c>
      <c r="E66" s="2" t="inlineStr">
        <is>
          <t>Africa50</t>
        </is>
      </c>
      <c r="F66" s="2" t="inlineStr">
        <is>
          <t>Africa50 Infrastructure Acceleration Fund (IAF)</t>
        </is>
      </c>
      <c r="G66" s="2" t="inlineStr">
        <is>
          <t>Infrastructure</t>
        </is>
      </c>
      <c r="H66" s="2" t="inlineStr">
        <is>
          <t>Pan-Africa</t>
        </is>
      </c>
      <c r="I66" s="2" t="n">
        <v>2024</v>
      </c>
      <c r="J66" s="2" t="inlineStr">
        <is>
          <t>Part of Africa50-IAF first close</t>
        </is>
      </c>
      <c r="K66" s="2" t="inlineStr">
        <is>
          <t>USD</t>
        </is>
      </c>
      <c r="L66" s="2" t="inlineStr">
        <is>
          <t>Press release</t>
        </is>
      </c>
      <c r="M66" s="2" t="inlineStr">
        <is>
          <t>Africa50 IAF first-close announcement</t>
        </is>
      </c>
      <c r="N66" s="2" t="inlineStr">
        <is>
          <t>H</t>
        </is>
      </c>
      <c r="O66" s="2" t="inlineStr">
        <is>
          <t>First disclosed CIPRES-zone pension fund LP commitment to a pan-African PE-style infrastructure fund.</t>
        </is>
      </c>
    </row>
    <row r="67" ht="23.25" customHeight="1" s="16">
      <c r="A67" s="2" t="inlineStr">
        <is>
          <t>CDG Invest (Morocco)</t>
        </is>
      </c>
      <c r="B67" s="2" t="inlineStr">
        <is>
          <t>Morocco</t>
        </is>
      </c>
      <c r="C67" s="2" t="inlineStr">
        <is>
          <t>Sovereign (subsidiary of CDG)</t>
        </is>
      </c>
      <c r="D67" s="2" t="inlineStr">
        <is>
          <t>Fund LP</t>
        </is>
      </c>
      <c r="E67" s="2" t="inlineStr">
        <is>
          <t>Africa50</t>
        </is>
      </c>
      <c r="F67" s="2" t="inlineStr">
        <is>
          <t>Africa50 Infrastructure Acceleration Fund (IAF)</t>
        </is>
      </c>
      <c r="G67" s="2" t="inlineStr">
        <is>
          <t>Infrastructure</t>
        </is>
      </c>
      <c r="H67" s="2" t="inlineStr">
        <is>
          <t>Pan-Africa</t>
        </is>
      </c>
      <c r="I67" s="2" t="n">
        <v>2024</v>
      </c>
      <c r="J67" s="2" t="inlineStr">
        <is>
          <t>Part of Africa50-IAF first close</t>
        </is>
      </c>
      <c r="K67" s="2" t="inlineStr">
        <is>
          <t>USD</t>
        </is>
      </c>
      <c r="L67" s="2" t="inlineStr">
        <is>
          <t>Press release</t>
        </is>
      </c>
      <c r="M67" s="2" t="inlineStr">
        <is>
          <t>Africa50 IAF first-close announcement</t>
        </is>
      </c>
      <c r="N67" s="2" t="inlineStr">
        <is>
          <t>H</t>
        </is>
      </c>
      <c r="O67" s="2" t="inlineStr">
        <is>
          <t>CDG Invest is the asset-management subsidiary of CDG Morocco.</t>
        </is>
      </c>
    </row>
    <row r="68" ht="23.25" customHeight="1" s="16">
      <c r="A68" s="2" t="inlineStr">
        <is>
          <t>CBK Pension Fund (Kenya, Central Bank of Kenya)</t>
        </is>
      </c>
      <c r="B68" s="2" t="inlineStr">
        <is>
          <t>Kenya</t>
        </is>
      </c>
      <c r="C68" s="2" t="inlineStr">
        <is>
          <t>Occupational PF (central bank)</t>
        </is>
      </c>
      <c r="D68" s="2" t="inlineStr">
        <is>
          <t>Fund LP</t>
        </is>
      </c>
      <c r="E68" s="2" t="inlineStr">
        <is>
          <t>AfricInvest</t>
        </is>
      </c>
      <c r="F68" s="2" t="inlineStr">
        <is>
          <t>AfricInvest FIVE (Financial Inclusion Vehicle, evergreen)</t>
        </is>
      </c>
      <c r="G68" s="2" t="inlineStr">
        <is>
          <t>PE / Financial services</t>
        </is>
      </c>
      <c r="H68" s="2" t="inlineStr">
        <is>
          <t>Pan-Africa</t>
        </is>
      </c>
      <c r="I68" s="2" t="n">
        <v>2018</v>
      </c>
      <c r="J68" s="2" t="inlineStr">
        <is>
          <t>Not separately disclosed</t>
        </is>
      </c>
      <c r="K68" s="2" t="inlineStr">
        <is>
          <t>USD</t>
        </is>
      </c>
      <c r="L68" s="2" t="inlineStr">
        <is>
          <t>Press release</t>
        </is>
      </c>
      <c r="M68" s="2" t="inlineStr">
        <is>
          <t>AVCA – AfricInvest FIVE second close Oct 2018 announcement</t>
        </is>
      </c>
      <c r="N68" s="2" t="inlineStr">
        <is>
          <t>H</t>
        </is>
      </c>
      <c r="O68" s="2" t="inlineStr">
        <is>
          <t>CBK Pension Fund (Central Bank of Kenya staff pension) committed alongside Norfund and IFU. CBK PF remained LP through subsequent closes.</t>
        </is>
      </c>
    </row>
    <row r="69" ht="23.25" customHeight="1" s="16">
      <c r="A69" s="2" t="inlineStr">
        <is>
          <t>NAPSA Zambia</t>
        </is>
      </c>
      <c r="B69" s="2" t="inlineStr">
        <is>
          <t>Zambia</t>
        </is>
      </c>
      <c r="C69" s="2" t="inlineStr">
        <is>
          <t>Public PF (mandatory)</t>
        </is>
      </c>
      <c r="D69" s="2" t="inlineStr">
        <is>
          <t>Direct equity (platform anchor)</t>
        </is>
      </c>
      <c r="E69" s="2" t="inlineStr">
        <is>
          <t>BII + Swedfund</t>
        </is>
      </c>
      <c r="F69" s="2" t="inlineStr">
        <is>
          <t>Growth Investment Partners Zambia (GIP Zambia)</t>
        </is>
      </c>
      <c r="G69" s="2" t="inlineStr">
        <is>
          <t>Private credit / SME debt</t>
        </is>
      </c>
      <c r="H69" s="2" t="inlineStr">
        <is>
          <t>Domestic (Zambia)</t>
        </is>
      </c>
      <c r="I69" s="2" t="n">
        <v>2025</v>
      </c>
      <c r="J69" s="2" t="inlineStr">
        <is>
          <t>USD 17.5m</t>
        </is>
      </c>
      <c r="K69" s="2" t="inlineStr">
        <is>
          <t>USD</t>
        </is>
      </c>
      <c r="L69" s="2" t="inlineStr">
        <is>
          <t>Press release</t>
        </is>
      </c>
      <c r="M69" s="2" t="inlineStr">
        <is>
          <t>BII launch of GIP Zambia Jan 2025</t>
        </is>
      </c>
      <c r="N69" s="2" t="inlineStr">
        <is>
          <t>H</t>
        </is>
      </c>
      <c r="O69" s="2" t="inlineStr">
        <is>
          <t>NAPSA is the third anchor alongside BII (USD 37.5m) and Swedfund (USD 15m); GIP Zambia plans to deploy USD 300m over 15 years to ~150 Zambian SMEs in local currency. Largest single disclosed Zambian-pension alts commitment.</t>
        </is>
      </c>
    </row>
    <row r="70" ht="23.25" customHeight="1" s="16">
      <c r="A70" s="2" t="inlineStr">
        <is>
          <t>Multiple Kenyan pension funds</t>
        </is>
      </c>
      <c r="B70" s="2" t="inlineStr">
        <is>
          <t>Kenya</t>
        </is>
      </c>
      <c r="C70" s="2" t="inlineStr">
        <is>
          <t>Pension fund cohort (unnamed)</t>
        </is>
      </c>
      <c r="D70" s="2" t="inlineStr">
        <is>
          <t>Fund LP</t>
        </is>
      </c>
      <c r="E70" s="2" t="inlineStr">
        <is>
          <t>Adenia Partners</t>
        </is>
      </c>
      <c r="F70" s="2" t="inlineStr">
        <is>
          <t>Adenia Capital V</t>
        </is>
      </c>
      <c r="G70" s="2" t="inlineStr">
        <is>
          <t>PE</t>
        </is>
      </c>
      <c r="H70" s="2" t="inlineStr">
        <is>
          <t>Pan-Africa</t>
        </is>
      </c>
      <c r="I70" s="2" t="n">
        <v>2024</v>
      </c>
      <c r="J70" s="2" t="inlineStr">
        <is>
          <t>Share of USD 470m hard cap close</t>
        </is>
      </c>
      <c r="K70" s="2" t="inlineStr">
        <is>
          <t>USD</t>
        </is>
      </c>
      <c r="L70" s="2" t="inlineStr">
        <is>
          <t>Trade press</t>
        </is>
      </c>
      <c r="M70" s="2" t="inlineStr">
        <is>
          <t>Adenia April 2024 fund-close press release; Africa Global Funds; Bloomberg coverage</t>
        </is>
      </c>
      <c r="N70" s="2" t="inlineStr">
        <is>
          <t>M</t>
        </is>
      </c>
      <c r="O70" s="2" t="inlineStr">
        <is>
          <t>Adenia Capital V LP roster includes 'Kenyan pension funds' but no specific funds named at close-disclosure level. Likely candidates: schemes that participate via KEPFIC consortium.</t>
        </is>
      </c>
    </row>
    <row r="71" ht="23.25" customHeight="1" s="16">
      <c r="A71" s="2" t="inlineStr">
        <is>
          <t>Multiple Ghanaian pension funds</t>
        </is>
      </c>
      <c r="B71" s="2" t="inlineStr">
        <is>
          <t>Ghana</t>
        </is>
      </c>
      <c r="C71" s="2" t="inlineStr">
        <is>
          <t>Pension fund cohort (unnamed)</t>
        </is>
      </c>
      <c r="D71" s="2" t="inlineStr">
        <is>
          <t>Fund LP</t>
        </is>
      </c>
      <c r="E71" s="2" t="inlineStr">
        <is>
          <t>Adenia Partners</t>
        </is>
      </c>
      <c r="F71" s="2" t="inlineStr">
        <is>
          <t>Adenia Capital V</t>
        </is>
      </c>
      <c r="G71" s="2" t="inlineStr">
        <is>
          <t>PE</t>
        </is>
      </c>
      <c r="H71" s="2" t="inlineStr">
        <is>
          <t>Pan-Africa</t>
        </is>
      </c>
      <c r="I71" s="2" t="n">
        <v>2024</v>
      </c>
      <c r="J71" s="2" t="inlineStr">
        <is>
          <t>Share of USD 470m hard cap close</t>
        </is>
      </c>
      <c r="K71" s="2" t="inlineStr">
        <is>
          <t>USD</t>
        </is>
      </c>
      <c r="L71" s="2" t="inlineStr">
        <is>
          <t>Trade press</t>
        </is>
      </c>
      <c r="M71" s="2" t="inlineStr">
        <is>
          <t>Adenia April 2024 fund-close press release</t>
        </is>
      </c>
      <c r="N71" s="2" t="inlineStr">
        <is>
          <t>M</t>
        </is>
      </c>
      <c r="O71" s="2" t="inlineStr">
        <is>
          <t>Adenia Capital V LP roster includes 'Ghanaian pension funds' but no specific trustees named at close-disclosure level.</t>
        </is>
      </c>
    </row>
    <row r="72" ht="23.25" customHeight="1" s="16">
      <c r="A72" s="2" t="inlineStr">
        <is>
          <t>PIC (South Africa)</t>
        </is>
      </c>
      <c r="B72" s="2" t="inlineStr">
        <is>
          <t>South Africa</t>
        </is>
      </c>
      <c r="C72" s="2" t="inlineStr">
        <is>
          <t>Public PF (via mgr)</t>
        </is>
      </c>
      <c r="D72" s="2" t="inlineStr">
        <is>
          <t>Fund LP</t>
        </is>
      </c>
      <c r="E72" s="2" t="inlineStr">
        <is>
          <t>Adenia Partners</t>
        </is>
      </c>
      <c r="F72" s="2" t="inlineStr">
        <is>
          <t>Adenia Capital V</t>
        </is>
      </c>
      <c r="G72" s="2" t="inlineStr">
        <is>
          <t>PE</t>
        </is>
      </c>
      <c r="H72" s="2" t="inlineStr">
        <is>
          <t>Pan-Africa</t>
        </is>
      </c>
      <c r="I72" s="2" t="n">
        <v>2024</v>
      </c>
      <c r="J72" s="2" t="inlineStr">
        <is>
          <t>Share of USD 470m hard cap close</t>
        </is>
      </c>
      <c r="K72" s="2" t="inlineStr">
        <is>
          <t>USD</t>
        </is>
      </c>
      <c r="L72" s="2" t="inlineStr">
        <is>
          <t>Trade press</t>
        </is>
      </c>
      <c r="M72" s="2" t="inlineStr">
        <is>
          <t>Adenia April 2024 fund-close press release</t>
        </is>
      </c>
      <c r="N72" s="2" t="inlineStr">
        <is>
          <t>H</t>
        </is>
      </c>
      <c r="O72" s="2" t="inlineStr">
        <is>
          <t>Specifically named as LP in Adenia V's hard-cap close; PIC commitment size not disclosed.</t>
        </is>
      </c>
    </row>
    <row r="73" ht="23.25" customHeight="1" s="16">
      <c r="A73" s="2" t="inlineStr">
        <is>
          <t>Multiple East African pension funds (likely incl. NSSF Uganda)</t>
        </is>
      </c>
      <c r="B73" s="2" t="inlineStr">
        <is>
          <t>East Africa</t>
        </is>
      </c>
      <c r="C73" s="2" t="inlineStr">
        <is>
          <t>Pension fund cohort</t>
        </is>
      </c>
      <c r="D73" s="2" t="inlineStr">
        <is>
          <t>Fund LP</t>
        </is>
      </c>
      <c r="E73" s="2" t="inlineStr">
        <is>
          <t>Catalyst Principal Partners</t>
        </is>
      </c>
      <c r="F73" s="2" t="inlineStr">
        <is>
          <t>Catalyst Fund II</t>
        </is>
      </c>
      <c r="G73" s="2" t="inlineStr">
        <is>
          <t>PE</t>
        </is>
      </c>
      <c r="H73" s="2" t="inlineStr">
        <is>
          <t>East Africa + DRC</t>
        </is>
      </c>
      <c r="I73" s="2" t="inlineStr">
        <is>
          <t>2016–2017 final close</t>
        </is>
      </c>
      <c r="J73" s="2" t="inlineStr">
        <is>
          <t>Share of USD 155m total close</t>
        </is>
      </c>
      <c r="K73" s="2" t="inlineStr">
        <is>
          <t>USD</t>
        </is>
      </c>
      <c r="L73" s="2" t="inlineStr">
        <is>
          <t>Trade press</t>
        </is>
      </c>
      <c r="M73" s="2" t="inlineStr">
        <is>
          <t>Catalyst Fund II close coverage; EIB profile</t>
        </is>
      </c>
      <c r="N73" s="2" t="inlineStr">
        <is>
          <t>M</t>
        </is>
      </c>
      <c r="O73" s="2" t="inlineStr">
        <is>
          <t>Catalyst Fund II disclosed 'local pension funds and family offices' as LPs alongside CDC/BII USD 30m, EIB, IFC, Proparco, Swedfund. NSSF Uganda is known to have committed (per earlier industry reporting); other names not publicly disclosed.</t>
        </is>
      </c>
    </row>
    <row r="74" ht="23.25" customHeight="1" s="16">
      <c r="A74" s="2" t="inlineStr">
        <is>
          <t>KEPFIC (Kenya Pension Funds Investment Consortium)</t>
        </is>
      </c>
      <c r="B74" s="2" t="inlineStr">
        <is>
          <t>Kenya</t>
        </is>
      </c>
      <c r="C74" s="2" t="inlineStr">
        <is>
          <t>Pension consortium (24 funds)</t>
        </is>
      </c>
      <c r="D74" s="2" t="inlineStr">
        <is>
          <t>Pooled mandate / facilitated member investments</t>
        </is>
      </c>
      <c r="E74" s="2" t="inlineStr">
        <is>
          <t>Various</t>
        </is>
      </c>
      <c r="F74" s="2" t="inlineStr">
        <is>
          <t>KEPFIC-facilitated housing + infrastructure investments</t>
        </is>
      </c>
      <c r="G74" s="2" t="inlineStr">
        <is>
          <t>Infrastructure / Alts</t>
        </is>
      </c>
      <c r="H74" s="2" t="inlineStr">
        <is>
          <t>Domestic + Regional</t>
        </is>
      </c>
      <c r="I74" s="2" t="inlineStr">
        <is>
          <t>2019–</t>
        </is>
      </c>
      <c r="J74" s="2" t="inlineStr">
        <is>
          <t>USD 113m mobilized into two housing projects; third road bond near closing (2023)</t>
        </is>
      </c>
      <c r="K74" s="2" t="inlineStr">
        <is>
          <t>USD</t>
        </is>
      </c>
      <c r="L74" s="2" t="inlineStr">
        <is>
          <t>Allocator disclosure</t>
        </is>
      </c>
      <c r="M74" s="2" t="inlineStr">
        <is>
          <t>IFC 2023 Pooling Pensions in Kenya; MiDA Lot 3 update</t>
        </is>
      </c>
      <c r="N74" s="2" t="inlineStr">
        <is>
          <t>H</t>
        </is>
      </c>
      <c r="O74" s="2" t="inlineStr">
        <is>
          <t>Retained as an aggregate consortium archetype only. IFC reports KEPFIC mobilized $113m into two housing projects and facilitated two member-fund investments, with a road infrastructure bond near closing. Individual KEPFIC member-only rows removed because membership alone is not allocator-to-vehicle commitment evidence.</t>
        </is>
      </c>
    </row>
    <row r="75" ht="23.25" customHeight="1" s="16">
      <c r="A75" s="2" t="inlineStr">
        <is>
          <t>Kenya Power &amp; Lighting Co. Pension Fund (KPLC PF)</t>
        </is>
      </c>
      <c r="B75" s="2" t="inlineStr">
        <is>
          <t>Kenya</t>
        </is>
      </c>
      <c r="C75" s="2" t="inlineStr">
        <is>
          <t>Occupational PF (parastatal)</t>
        </is>
      </c>
      <c r="D75" s="2" t="inlineStr">
        <is>
          <t>Fund LP</t>
        </is>
      </c>
      <c r="E75" s="2" t="inlineStr">
        <is>
          <t>Ascent Capital Africa</t>
        </is>
      </c>
      <c r="F75" s="2" t="inlineStr">
        <is>
          <t>Ascent Rift Valley Fund I (ARVF I)</t>
        </is>
      </c>
      <c r="G75" s="2" t="inlineStr">
        <is>
          <t>PE / SME growth</t>
        </is>
      </c>
      <c r="H75" s="2" t="inlineStr">
        <is>
          <t>East Africa (Kenya, Uganda, Ethiopia)</t>
        </is>
      </c>
      <c r="I75" s="2" t="n">
        <v>2014</v>
      </c>
      <c r="J75" s="2" t="inlineStr">
        <is>
          <t>USD 4m</t>
        </is>
      </c>
      <c r="K75" s="2" t="inlineStr">
        <is>
          <t>USD</t>
        </is>
      </c>
      <c r="L75" s="2" t="inlineStr">
        <is>
          <t>Press release / trade press</t>
        </is>
      </c>
      <c r="M75" s="2" t="inlineStr">
        <is>
          <t>Africa Global Funds — ARVF first close July 2014 (KPLC PF named as 'first pension fund in East African PE')</t>
        </is>
      </c>
      <c r="N75" s="2" t="inlineStr">
        <is>
          <t>H</t>
        </is>
      </c>
      <c r="O75" s="2" t="inlineStr">
        <is>
          <t>Historical first: described as 'the first pension fund in East African private equity'. ARVF I total first close USD 50m.</t>
        </is>
      </c>
    </row>
    <row r="76" ht="23.25" customHeight="1" s="16">
      <c r="A76" s="2" t="inlineStr">
        <is>
          <t>Nation Media Group Staff Retirement Benefits Scheme (NMG Pension Fund)</t>
        </is>
      </c>
      <c r="B76" s="2" t="inlineStr">
        <is>
          <t>Kenya</t>
        </is>
      </c>
      <c r="C76" s="2" t="inlineStr">
        <is>
          <t>Corporate occupational PF</t>
        </is>
      </c>
      <c r="D76" s="2" t="inlineStr">
        <is>
          <t>Fund LP (via STANLIB)</t>
        </is>
      </c>
      <c r="E76" s="2" t="inlineStr">
        <is>
          <t>Ascent Capital Africa</t>
        </is>
      </c>
      <c r="F76" s="2" t="inlineStr">
        <is>
          <t>Ascent Rift Valley Fund I (ARVF I)</t>
        </is>
      </c>
      <c r="G76" s="2" t="inlineStr">
        <is>
          <t>PE / SME growth</t>
        </is>
      </c>
      <c r="H76" s="2" t="inlineStr">
        <is>
          <t>East Africa (Kenya, Uganda, Ethiopia)</t>
        </is>
      </c>
      <c r="I76" s="2" t="n">
        <v>2015</v>
      </c>
      <c r="J76" s="2" t="inlineStr">
        <is>
          <t>USD 1m (KES 91m)</t>
        </is>
      </c>
      <c r="K76" s="2" t="inlineStr">
        <is>
          <t>USD</t>
        </is>
      </c>
      <c r="L76" s="2" t="inlineStr">
        <is>
          <t>Press release</t>
        </is>
      </c>
      <c r="M76" s="2" t="inlineStr">
        <is>
          <t>Africa Global Funds — 'NMG Pension Fund commits $1m to Ascent' (25 Feb 2015)</t>
        </is>
      </c>
      <c r="N76" s="2" t="inlineStr">
        <is>
          <t>H</t>
        </is>
      </c>
      <c r="O76" s="2" t="inlineStr">
        <is>
          <t>Commitment made via STANLIB Kenya as fund manager. Trustee Wallace Kantai: 'first of many investments of this kind by our fund'.</t>
        </is>
      </c>
    </row>
    <row r="77" ht="23.25" customHeight="1" s="16">
      <c r="A77" s="2" t="inlineStr">
        <is>
          <t>Kenya Power &amp; Lighting Co. Pension Fund (KPLC PF)</t>
        </is>
      </c>
      <c r="B77" s="2" t="inlineStr">
        <is>
          <t>Kenya</t>
        </is>
      </c>
      <c r="C77" s="2" t="inlineStr">
        <is>
          <t>Occupational PF (parastatal)</t>
        </is>
      </c>
      <c r="D77" s="2" t="inlineStr">
        <is>
          <t>Fund LP</t>
        </is>
      </c>
      <c r="E77" s="2" t="inlineStr">
        <is>
          <t>Ascent Capital Africa</t>
        </is>
      </c>
      <c r="F77" s="2" t="inlineStr">
        <is>
          <t>Ascent Rift Valley Fund II (ARVF II)</t>
        </is>
      </c>
      <c r="G77" s="2" t="inlineStr">
        <is>
          <t>PE / SME growth</t>
        </is>
      </c>
      <c r="H77" s="2" t="inlineStr">
        <is>
          <t>East Africa (Kenya, Uganda, Ethiopia, Rwanda, Tanzania)</t>
        </is>
      </c>
      <c r="I77" s="2" t="inlineStr">
        <is>
          <t>various 2018-2020</t>
        </is>
      </c>
      <c r="J77" s="2" t="inlineStr">
        <is>
          <t>Not separately disclosed (2 KPLC PF commitments per source)</t>
        </is>
      </c>
      <c r="K77" s="2" t="inlineStr">
        <is>
          <t>USD</t>
        </is>
      </c>
      <c r="L77" s="2" t="inlineStr">
        <is>
          <t>DFI co-disclosure</t>
        </is>
      </c>
      <c r="M77" s="2" t="inlineStr">
        <is>
          <t>BIO / IFC project disclosures; Africa Global Funds; AVCA Ascent interview</t>
        </is>
      </c>
      <c r="N77" s="2" t="inlineStr">
        <is>
          <t>H</t>
        </is>
      </c>
      <c r="O77" s="2" t="inlineStr">
        <is>
          <t>Source notes 'three pension funds (two from Kenya Power Pension Fund and one from Nation Media Group Staff Pension Fund)'. Two KPLC PF commitments likely reflect the KPLC main scheme + KPLC Staff Retirement Benefits Scheme separately.</t>
        </is>
      </c>
    </row>
    <row r="78" ht="34.5" customHeight="1" s="16">
      <c r="A78" s="2" t="inlineStr">
        <is>
          <t>Nation Media Group Staff Retirement Benefits Scheme (NMG Pension Fund)</t>
        </is>
      </c>
      <c r="B78" s="2" t="inlineStr">
        <is>
          <t>Kenya</t>
        </is>
      </c>
      <c r="C78" s="2" t="inlineStr">
        <is>
          <t>Corporate occupational PF</t>
        </is>
      </c>
      <c r="D78" s="2" t="inlineStr">
        <is>
          <t>Fund LP</t>
        </is>
      </c>
      <c r="E78" s="2" t="inlineStr">
        <is>
          <t>Ascent Capital Africa</t>
        </is>
      </c>
      <c r="F78" s="2" t="inlineStr">
        <is>
          <t>Ascent Rift Valley Fund II (ARVF II)</t>
        </is>
      </c>
      <c r="G78" s="2" t="inlineStr">
        <is>
          <t>PE / SME growth</t>
        </is>
      </c>
      <c r="H78" s="2" t="inlineStr">
        <is>
          <t>East Africa</t>
        </is>
      </c>
      <c r="I78" s="2" t="inlineStr">
        <is>
          <t>various 2018-2020</t>
        </is>
      </c>
      <c r="J78" s="2" t="inlineStr">
        <is>
          <t>Not separately disclosed</t>
        </is>
      </c>
      <c r="K78" s="2" t="inlineStr">
        <is>
          <t>USD</t>
        </is>
      </c>
      <c r="L78" s="2" t="inlineStr">
        <is>
          <t>DFI co-disclosure</t>
        </is>
      </c>
      <c r="M78" s="2" t="inlineStr">
        <is>
          <t>IFC ARVF II project disclosure; Africa Global Funds</t>
        </is>
      </c>
      <c r="N78" s="2" t="inlineStr">
        <is>
          <t>H</t>
        </is>
      </c>
      <c r="O78" s="2" t="inlineStr">
        <is>
          <t>Re-up after ARVF I; NMG remains an LP.</t>
        </is>
      </c>
    </row>
    <row r="79" ht="45.75" customHeight="1" s="16">
      <c r="A79" s="2" t="inlineStr">
        <is>
          <t>Nigeria Sovereign Investment Authority (NSIA)</t>
        </is>
      </c>
      <c r="B79" s="2" t="inlineStr">
        <is>
          <t>Nigeria</t>
        </is>
      </c>
      <c r="C79" s="2" t="inlineStr">
        <is>
          <t>SWF (NIF sub-fund)</t>
        </is>
      </c>
      <c r="D79" s="2" t="inlineStr">
        <is>
          <t>Fund LP</t>
        </is>
      </c>
      <c r="E79" s="2" t="inlineStr">
        <is>
          <t>Sahel Capital</t>
        </is>
      </c>
      <c r="F79" s="2" t="inlineStr">
        <is>
          <t>Fund for Agricultural Finance in Nigeria (FAFIN)</t>
        </is>
      </c>
      <c r="G79" s="2" t="inlineStr">
        <is>
          <t>PE / Agribusiness</t>
        </is>
      </c>
      <c r="H79" s="2" t="inlineStr">
        <is>
          <t>Nigeria</t>
        </is>
      </c>
      <c r="I79" s="2" t="n">
        <v>2017</v>
      </c>
      <c r="J79" s="2" t="inlineStr">
        <is>
          <t>Share of USD 65.9m final close</t>
        </is>
      </c>
      <c r="K79" s="2" t="inlineStr">
        <is>
          <t>USD</t>
        </is>
      </c>
      <c r="L79" s="2" t="inlineStr">
        <is>
          <t>Press release</t>
        </is>
      </c>
      <c r="M79" s="2" t="inlineStr">
        <is>
          <t>NSIA Sahel Capital FAFIN final close announcement</t>
        </is>
      </c>
      <c r="N79" s="2" t="inlineStr">
        <is>
          <t>H</t>
        </is>
      </c>
      <c r="O79" s="2" t="inlineStr">
        <is>
          <t>NSIA was an LP alongside AfDB, CDC Group/BII, and Dutch Good Growth Fund (DGGF) in Sahel's FAFIN. NSIA's earliest disclosed PE fund LP position alongside DFIs.</t>
        </is>
      </c>
    </row>
    <row r="80" ht="23.25" customHeight="1" s="16">
      <c r="A80" s="2" t="inlineStr">
        <is>
          <t>Nigerian PFAs (historical cohort)</t>
        </is>
      </c>
      <c r="B80" s="2" t="inlineStr">
        <is>
          <t>Nigeria</t>
        </is>
      </c>
      <c r="C80" s="2" t="inlineStr">
        <is>
          <t>PFA cohort</t>
        </is>
      </c>
      <c r="D80" s="2" t="inlineStr">
        <is>
          <t>Fund LP (historical)</t>
        </is>
      </c>
      <c r="E80" s="2" t="inlineStr">
        <is>
          <t>African Capital Alliance (ACA)</t>
        </is>
      </c>
      <c r="F80" s="2" t="inlineStr">
        <is>
          <t>CAPE I-IV (Capital Alliance Private Equity)</t>
        </is>
      </c>
      <c r="G80" s="2" t="inlineStr">
        <is>
          <t>PE</t>
        </is>
      </c>
      <c r="H80" s="2" t="inlineStr">
        <is>
          <t>Nigeria + West Africa</t>
        </is>
      </c>
      <c r="I80" s="2" t="inlineStr">
        <is>
          <t>1998-ongoing</t>
        </is>
      </c>
      <c r="J80" s="2" t="inlineStr">
        <is>
          <t>Cumulative &gt;USD 1bn raised across CAPE I-IV</t>
        </is>
      </c>
      <c r="K80" s="2" t="inlineStr">
        <is>
          <t>USD</t>
        </is>
      </c>
      <c r="L80" s="2" t="inlineStr">
        <is>
          <t>ACA disclosures / industry coverage</t>
        </is>
      </c>
      <c r="M80" s="2" t="inlineStr">
        <is>
          <t>ACA member interview and corporate site</t>
        </is>
      </c>
      <c r="N80" s="2" t="inlineStr">
        <is>
          <t>M</t>
        </is>
      </c>
      <c r="O80" s="2" t="inlineStr">
        <is>
          <t>ACA historically championed PE inclusion as allowable Nigerian pension asset class. Some PFA commitments to CAPE funds confirmed by ACA's stated 'institutional investor base, primarily pension funds and DFIs'; specific PFA names not individually disclosed.</t>
        </is>
      </c>
    </row>
    <row r="81" ht="34.5" customHeight="1" s="16">
      <c r="A81" s="2" t="inlineStr">
        <is>
          <t>Rwanda Social Security Board (RSSB)</t>
        </is>
      </c>
      <c r="B81" s="2" t="inlineStr">
        <is>
          <t>Rwanda</t>
        </is>
      </c>
      <c r="C81" s="2" t="inlineStr">
        <is>
          <t>Public PF (mandatory)</t>
        </is>
      </c>
      <c r="D81" s="2" t="inlineStr">
        <is>
          <t>Fund LP (anchor)</t>
        </is>
      </c>
      <c r="E81" s="2" t="inlineStr">
        <is>
          <t>Enko Capital (Rwanda subsidiary)</t>
        </is>
      </c>
      <c r="F81" s="2" t="inlineStr">
        <is>
          <t>Rwanda SME Growth Fund</t>
        </is>
      </c>
      <c r="G81" s="2" t="inlineStr">
        <is>
          <t>PE / SME growth (local-currency)</t>
        </is>
      </c>
      <c r="H81" s="2" t="inlineStr">
        <is>
          <t>Rwanda</t>
        </is>
      </c>
      <c r="I81" s="2" t="n">
        <v>2026</v>
      </c>
      <c r="J81" s="2" t="inlineStr">
        <is>
          <t>USD 30m anchor (RWF equivalent) + USD 3m TA facility seed</t>
        </is>
      </c>
      <c r="K81" s="2" t="inlineStr">
        <is>
          <t>USD/RWF</t>
        </is>
      </c>
      <c r="L81" s="2" t="inlineStr">
        <is>
          <t>Press release</t>
        </is>
      </c>
      <c r="M81" s="2" t="inlineStr">
        <is>
          <t>FSDA — RSSB Anchors First Close of USD 100m Rwanda SME Fund (28 April 2026)</t>
        </is>
      </c>
      <c r="N81" s="2" t="inlineStr">
        <is>
          <t>H</t>
        </is>
      </c>
      <c r="O81" s="2" t="inlineStr">
        <is>
          <t>Three regional firsts per RSSB CEO Regis Rugemanshuro: (i) FIRST public pension-fund-led initiative focused exclusively on SME financing; (ii) FIRST permanent capital vehicle anchored by a pension fund; (iii) FIRST pension fund dedicating a TA facility in a fund. Fund target USD 100m. Enko Capital parent has USD 1.6bn AUM. FSDA structured the deal + potential guarantee facility.</t>
        </is>
      </c>
    </row>
    <row r="82" ht="23.25" customHeight="1" s="16">
      <c r="A82" s="2" t="inlineStr">
        <is>
          <t>Asset Owners Forum of South Africa (AOFSA)</t>
        </is>
      </c>
      <c r="B82" s="2" t="inlineStr">
        <is>
          <t>South Africa</t>
        </is>
      </c>
      <c r="C82" s="2" t="inlineStr">
        <is>
          <t>Pension consortium (12-15 funds)</t>
        </is>
      </c>
      <c r="D82" s="2" t="inlineStr">
        <is>
          <t>Pooled mandate / aggregate member commitments</t>
        </is>
      </c>
      <c r="E82" s="2" t="inlineStr">
        <is>
          <t>Various (mandates allocated to managers)</t>
        </is>
      </c>
      <c r="F82" s="2" t="inlineStr">
        <is>
          <t>SA infrastructure + alts mandates</t>
        </is>
      </c>
      <c r="G82" s="2" t="inlineStr">
        <is>
          <t>Infrastructure / Alts</t>
        </is>
      </c>
      <c r="H82" s="2" t="inlineStr">
        <is>
          <t>Domestic + regional</t>
        </is>
      </c>
      <c r="I82" s="2" t="inlineStr">
        <is>
          <t>2021-ongoing</t>
        </is>
      </c>
      <c r="J82" s="2" t="inlineStr">
        <is>
          <t>R5.7bn / USD 400m+ collectively committed</t>
        </is>
      </c>
      <c r="K82" s="2" t="inlineStr">
        <is>
          <t>USD/ZAR</t>
        </is>
      </c>
      <c r="L82" s="2" t="inlineStr">
        <is>
          <t>Allocator press release / Batseta / USAID + MiDA + World Bank</t>
        </is>
      </c>
      <c r="M82" s="2" t="inlineStr">
        <is>
          <t>Engineering News 2022; MiDA/USAID AOFSA case materials</t>
        </is>
      </c>
      <c r="N82" s="2" t="inlineStr">
        <is>
          <t>H</t>
        </is>
      </c>
      <c r="O82" s="2" t="inlineStr">
        <is>
          <t>Retained as an aggregate consortium archetype only. Public sources report actual collective AOFSA member commitments; individual member-only rows removed because the public evidence does not allocate the commitments by named member fund.</t>
        </is>
      </c>
    </row>
    <row r="83" ht="23.25" customHeight="1" s="16">
      <c r="A83" s="2" t="inlineStr">
        <is>
          <t>Petra Trust Company (Ghana)</t>
        </is>
      </c>
      <c r="B83" s="2" t="inlineStr">
        <is>
          <t>Ghana</t>
        </is>
      </c>
      <c r="C83" s="2" t="inlineStr">
        <is>
          <t>Tier 2/3 corporate trustee</t>
        </is>
      </c>
      <c r="D83" s="2" t="inlineStr">
        <is>
          <t>Fund LP</t>
        </is>
      </c>
      <c r="E83" s="2" t="inlineStr">
        <is>
          <t>Mirepa Investment Advisors</t>
        </is>
      </c>
      <c r="F83" s="2" t="inlineStr">
        <is>
          <t>Mirepa Capital SME Fund I</t>
        </is>
      </c>
      <c r="G83" s="2" t="inlineStr">
        <is>
          <t>PE / SME growth</t>
        </is>
      </c>
      <c r="H83" s="2" t="inlineStr">
        <is>
          <t>Ghana</t>
        </is>
      </c>
      <c r="I83" s="2" t="n">
        <v>2023</v>
      </c>
      <c r="J83" s="2" t="inlineStr">
        <is>
          <t>Share of GHS 120m initial close</t>
        </is>
      </c>
      <c r="K83" s="2" t="inlineStr">
        <is>
          <t>GHS</t>
        </is>
      </c>
      <c r="L83" s="2" t="inlineStr">
        <is>
          <t>Press release</t>
        </is>
      </c>
      <c r="M83" s="2" t="inlineStr">
        <is>
          <t>Mirepa Investment Advisors press release / The Innovation Spark / B&amp;FT</t>
        </is>
      </c>
      <c r="N83" s="2" t="inlineStr">
        <is>
          <t>H</t>
        </is>
      </c>
      <c r="O83" s="2" t="inlineStr">
        <is>
          <t>Second Ghana fund anchored solely by local investors (after Injaro IGVCF). Petra Trust named alongside Axis Pensions, VCTF, and CAMCOL schemes. Mirepa fund focuses on light manufacturing, technology, cleantech, agribusiness, healthcare, financial services.</t>
        </is>
      </c>
    </row>
    <row r="84" ht="45.75" customHeight="1" s="16">
      <c r="A84" s="2" t="inlineStr">
        <is>
          <t>Axis Pension Trust</t>
        </is>
      </c>
      <c r="B84" s="2" t="inlineStr">
        <is>
          <t>Ghana</t>
        </is>
      </c>
      <c r="C84" s="2" t="inlineStr">
        <is>
          <t>Tier 2/3 corporate trustee</t>
        </is>
      </c>
      <c r="D84" s="2" t="inlineStr">
        <is>
          <t>Fund LP</t>
        </is>
      </c>
      <c r="E84" s="2" t="inlineStr">
        <is>
          <t>Mirepa Investment Advisors</t>
        </is>
      </c>
      <c r="F84" s="2" t="inlineStr">
        <is>
          <t>Mirepa Capital SME Fund I</t>
        </is>
      </c>
      <c r="G84" s="2" t="inlineStr">
        <is>
          <t>PE / SME growth</t>
        </is>
      </c>
      <c r="H84" s="2" t="inlineStr">
        <is>
          <t>Ghana</t>
        </is>
      </c>
      <c r="I84" s="2" t="n">
        <v>2023</v>
      </c>
      <c r="J84" s="2" t="inlineStr">
        <is>
          <t>Share of GHS 120m initial close</t>
        </is>
      </c>
      <c r="K84" s="2" t="inlineStr">
        <is>
          <t>GHS</t>
        </is>
      </c>
      <c r="L84" s="2" t="inlineStr">
        <is>
          <t>Press release</t>
        </is>
      </c>
      <c r="M84" s="2" t="inlineStr">
        <is>
          <t>Mirepa Investment Advisors press release</t>
        </is>
      </c>
      <c r="N84" s="2" t="inlineStr">
        <is>
          <t>H</t>
        </is>
      </c>
      <c r="O84" s="2" t="inlineStr">
        <is>
          <t>Axis Pensions named LP alongside Petra Trust, VCTF, CAMCOL schemes. Predates Axis's later commitments to GIP Ghana (Apr 2026) and Ci-Gaba FoF (Mar 2026).</t>
        </is>
      </c>
    </row>
    <row r="85" ht="90.75" customHeight="1" s="16">
      <c r="A85" s="2" t="inlineStr">
        <is>
          <t>Multiple Ghanaian pension schemes (via CAL Asset Management — CAMCOL)</t>
        </is>
      </c>
      <c r="B85" s="2" t="inlineStr">
        <is>
          <t>Ghana</t>
        </is>
      </c>
      <c r="C85" s="2" t="inlineStr">
        <is>
          <t>Pension scheme cohort (via mgr)</t>
        </is>
      </c>
      <c r="D85" s="2" t="inlineStr">
        <is>
          <t>Fund LP (via manager)</t>
        </is>
      </c>
      <c r="E85" s="2" t="inlineStr">
        <is>
          <t>Mirepa Investment Advisors</t>
        </is>
      </c>
      <c r="F85" s="2" t="inlineStr">
        <is>
          <t>Mirepa Capital SME Fund I</t>
        </is>
      </c>
      <c r="G85" s="2" t="inlineStr">
        <is>
          <t>PE / SME growth</t>
        </is>
      </c>
      <c r="H85" s="2" t="inlineStr">
        <is>
          <t>Ghana</t>
        </is>
      </c>
      <c r="I85" s="2" t="n">
        <v>2023</v>
      </c>
      <c r="J85" s="2" t="inlineStr">
        <is>
          <t>Share of GHS 120m initial close</t>
        </is>
      </c>
      <c r="K85" s="2" t="inlineStr">
        <is>
          <t>GHS</t>
        </is>
      </c>
      <c r="L85" s="2" t="inlineStr">
        <is>
          <t>Press release</t>
        </is>
      </c>
      <c r="M85" s="2" t="inlineStr">
        <is>
          <t>Mirepa Investment Advisors press release</t>
        </is>
      </c>
      <c r="N85" s="2" t="inlineStr">
        <is>
          <t>M</t>
        </is>
      </c>
      <c r="O85" s="2" t="inlineStr">
        <is>
          <t>CAL Asset Management Company Limited (CAMCOL) is one of the major Ghanaian pension asset managers. Underlying pension scheme identities not individually disclosed.</t>
        </is>
      </c>
    </row>
    <row r="86" ht="34.5" customHeight="1" s="16">
      <c r="A86" s="2" t="inlineStr">
        <is>
          <t>Multiple Ghanaian pension funds (Injaro anchor cohort)</t>
        </is>
      </c>
      <c r="B86" s="2" t="inlineStr">
        <is>
          <t>Ghana</t>
        </is>
      </c>
      <c r="C86" s="2" t="inlineStr">
        <is>
          <t>Pension fund cohort</t>
        </is>
      </c>
      <c r="D86" s="2" t="inlineStr">
        <is>
          <t>Fund LP (anchor)</t>
        </is>
      </c>
      <c r="E86" s="2" t="inlineStr">
        <is>
          <t>Injaro Investment Advisors</t>
        </is>
      </c>
      <c r="F86" s="2" t="inlineStr">
        <is>
          <t>Injaro Ghana Venture Capital Fund (IGVCF)</t>
        </is>
      </c>
      <c r="G86" s="2" t="inlineStr">
        <is>
          <t>PE / SME / VC</t>
        </is>
      </c>
      <c r="H86" s="2" t="inlineStr">
        <is>
          <t>Ghana + Côte d'Ivoire</t>
        </is>
      </c>
      <c r="I86" s="2" t="n">
        <v>2023</v>
      </c>
      <c r="J86" s="2" t="inlineStr">
        <is>
          <t>Share of GHS 216m (~USD 17.4m) final close (Dec 2023)</t>
        </is>
      </c>
      <c r="K86" s="2" t="inlineStr">
        <is>
          <t>GHS</t>
        </is>
      </c>
      <c r="L86" s="2" t="inlineStr">
        <is>
          <t>Press release</t>
        </is>
      </c>
      <c r="M86" s="2" t="inlineStr">
        <is>
          <t>AVCA — Injaro announces final close; Africa Global Funds; Africa PE News</t>
        </is>
      </c>
      <c r="N86" s="2" t="inlineStr">
        <is>
          <t>H</t>
        </is>
      </c>
      <c r="O86" s="2" t="inlineStr">
        <is>
          <t>FIRST Ghana fund of its kind anchored by local pension funds (per Injaro press release). Predates Mirepa I (2023) and Ci-Gaba (2026). Specific Ghanaian pension fund names not disclosed in public sources but precedent-setting.</t>
        </is>
      </c>
    </row>
    <row r="87" ht="34.5" customHeight="1" s="16">
      <c r="A87" t="inlineStr">
        <is>
          <t>GEPF / PIC (South Africa)</t>
        </is>
      </c>
      <c r="B87" t="inlineStr">
        <is>
          <t>South Africa</t>
        </is>
      </c>
      <c r="C87" t="inlineStr">
        <is>
          <t>Public PF (via asset manager)</t>
        </is>
      </c>
      <c r="D87" t="inlineStr">
        <is>
          <t>Fund LP</t>
        </is>
      </c>
      <c r="E87" t="inlineStr">
        <is>
          <t>Zebu Investment Partners</t>
        </is>
      </c>
      <c r="F87" t="inlineStr">
        <is>
          <t>Africa Food Security Fund (AFSF)</t>
        </is>
      </c>
      <c r="G87" t="inlineStr">
        <is>
          <t>PE / agriculture / food security</t>
        </is>
      </c>
      <c r="H87" t="inlineStr">
        <is>
          <t>Sub-Saharan Africa</t>
        </is>
      </c>
      <c r="I87" t="n">
        <v>2019</v>
      </c>
      <c r="J87" t="inlineStr">
        <is>
          <t>Not disclosed; fund size USD 84m</t>
        </is>
      </c>
      <c r="K87" t="inlineStr">
        <is>
          <t>USD</t>
        </is>
      </c>
      <c r="L87" t="inlineStr">
        <is>
          <t>DFI / fund close announcement</t>
        </is>
      </c>
      <c r="M87" t="inlineStr">
        <is>
          <t>DGGF news release, Jan 2019</t>
        </is>
      </c>
      <c r="N87" t="inlineStr">
        <is>
          <t>H</t>
        </is>
      </c>
      <c r="O87" t="inlineStr">
        <is>
          <t>DGGF names PIC on behalf of GEPF among first-round AFSF investors alongside AfDB, CDC Group/BII, DGGF, IFU, and EBID; Kuramo later joined, bringing fund commitments to USD 84m.</t>
        </is>
      </c>
    </row>
    <row r="88" ht="45.75" customHeight="1" s="16"/>
    <row r="89" ht="34.5" customHeight="1" s="16"/>
    <row r="90" ht="34.5" customHeight="1" s="16"/>
    <row r="91" ht="23.25" customHeight="1" s="16"/>
    <row r="92" ht="23.25" customHeight="1" s="16"/>
    <row r="93" ht="124.5" customHeight="1" s="16"/>
    <row r="94" ht="124.5" customHeight="1" s="16"/>
    <row r="95" ht="79.5" customHeight="1" s="16"/>
    <row r="96" ht="34.5" customHeight="1" s="16"/>
    <row r="97" ht="45.75" customHeight="1" s="16"/>
    <row r="98" ht="57" customHeight="1" s="16"/>
  </sheetData>
  <autoFilter ref="A1:O98"/>
  <conditionalFormatting sqref="N2:N98">
    <cfRule type="cellIs" priority="2" operator="equal" dxfId="2">
      <formula>"H"</formula>
    </cfRule>
    <cfRule type="cellIs" priority="3" operator="equal" dxfId="1">
      <formula>"M"</formula>
    </cfRule>
    <cfRule type="cellIs" priority="4" operator="equal" dxfId="0">
      <formula>"L"</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34" customWidth="1" style="16" min="1" max="1"/>
    <col width="16" customWidth="1" style="16" min="2" max="2"/>
    <col width="28" customWidth="1" style="16" min="3" max="3"/>
    <col width="24" customWidth="1" style="16" min="4" max="4"/>
    <col width="32" customWidth="1" style="16" min="5" max="5"/>
    <col width="42" customWidth="1" style="16" min="6" max="6"/>
    <col width="24" customWidth="1" style="16" min="7" max="7"/>
    <col width="22" customWidth="1" style="16" min="8" max="8"/>
    <col width="14" customWidth="1" style="16" min="9" max="9"/>
    <col width="30" customWidth="1" style="16" min="10" max="10"/>
    <col width="12" customWidth="1" style="16" min="11" max="11"/>
    <col width="24" customWidth="1" style="16" min="12" max="12"/>
    <col width="30" customWidth="1" style="16" min="13" max="13"/>
    <col width="18" customWidth="1" style="16" min="14" max="14"/>
    <col width="70" customWidth="1" style="16" min="15" max="15"/>
    <col width="60" customWidth="1" style="16" min="16" max="16"/>
  </cols>
  <sheetData>
    <row r="1">
      <c r="A1" s="25" t="inlineStr">
        <is>
          <t>Entity / prospective allocator</t>
        </is>
      </c>
      <c r="B1" s="25" t="inlineStr">
        <is>
          <t>Allocator country</t>
        </is>
      </c>
      <c r="C1" s="25" t="inlineStr">
        <is>
          <t>Allocator type</t>
        </is>
      </c>
      <c r="D1" s="25" t="inlineStr">
        <is>
          <t>Status category</t>
        </is>
      </c>
      <c r="E1" s="25" t="inlineStr">
        <is>
          <t>GP or counterparty</t>
        </is>
      </c>
      <c r="F1" s="25" t="inlineStr">
        <is>
          <t>Fund / Vehicle / Deal name</t>
        </is>
      </c>
      <c r="G1" s="25" t="inlineStr">
        <is>
          <t>Asset class</t>
        </is>
      </c>
      <c r="H1" s="25" t="inlineStr">
        <is>
          <t>Geographic focus</t>
        </is>
      </c>
      <c r="I1" s="25" t="inlineStr">
        <is>
          <t>Vintage / Year</t>
        </is>
      </c>
      <c r="J1" s="25" t="inlineStr">
        <is>
          <t>Potential size / target</t>
        </is>
      </c>
      <c r="K1" s="25" t="inlineStr">
        <is>
          <t>Currency</t>
        </is>
      </c>
      <c r="L1" s="25" t="inlineStr">
        <is>
          <t>Disclosure type</t>
        </is>
      </c>
      <c r="M1" s="25" t="inlineStr">
        <is>
          <t>Source (short)</t>
        </is>
      </c>
      <c r="N1" s="25" t="inlineStr">
        <is>
          <t>Pipeline confidence</t>
        </is>
      </c>
      <c r="O1" s="25" t="inlineStr">
        <is>
          <t>Reason not in Commitments Database</t>
        </is>
      </c>
      <c r="P1" s="25" t="inlineStr">
        <is>
          <t>Source URL</t>
        </is>
      </c>
    </row>
    <row r="2">
      <c r="A2" s="26" t="inlineStr">
        <is>
          <t>Multiple Nigerian PFAs (expected)</t>
        </is>
      </c>
      <c r="B2" s="26" t="inlineStr">
        <is>
          <t>Nigeria</t>
        </is>
      </c>
      <c r="C2" s="26" t="inlineStr">
        <is>
          <t>PFA cohort</t>
        </is>
      </c>
      <c r="D2" s="26" t="inlineStr">
        <is>
          <t>Expected follow-on</t>
        </is>
      </c>
      <c r="E2" s="26" t="inlineStr">
        <is>
          <t>ARM-Harith Infrastructure Investment</t>
        </is>
      </c>
      <c r="F2" s="26" t="inlineStr">
        <is>
          <t>ARM-Harith Climate and Transition Infrastructure Fund (ACT Fund)</t>
        </is>
      </c>
      <c r="G2" s="26" t="inlineStr">
        <is>
          <t>Infrastructure</t>
        </is>
      </c>
      <c r="H2" s="26" t="inlineStr">
        <is>
          <t>Nigeria + Africa</t>
        </is>
      </c>
      <c r="I2" s="26" t="n">
        <v>2025</v>
      </c>
      <c r="J2" s="26" t="inlineStr">
        <is>
          <t>Targeted GBP ~31m from pensions</t>
        </is>
      </c>
      <c r="K2" s="26" t="inlineStr">
        <is>
          <t>GBP/NGN</t>
        </is>
      </c>
      <c r="L2" s="26" t="inlineStr">
        <is>
          <t>Press release</t>
        </is>
      </c>
      <c r="M2" s="26" t="inlineStr">
        <is>
          <t>FSDAi GBP 10m catalytic commitment April 2025</t>
        </is>
      </c>
      <c r="N2" s="26" t="inlineStr">
        <is>
          <t>M</t>
        </is>
      </c>
      <c r="O2" s="26" t="inlineStr">
        <is>
          <t>FSDAi commitment is structured to unlock pension contributions, but no named or closed PFA LP allocation is disclosed yet.</t>
        </is>
      </c>
      <c r="P2" s="26" t="inlineStr">
        <is>
          <t>https://archive.fsdafrica.org/arm-harith-and-fsd-africa-investments-announce-gbp-10m-commitment-to-unlock-nigerian-pension-funds-and-catalyse-local-capital-for-infrastructure/</t>
        </is>
      </c>
    </row>
    <row r="3">
      <c r="A3" s="26" t="inlineStr">
        <is>
          <t>Multiple Nigerian institutional investors (incl. PFAs)</t>
        </is>
      </c>
      <c r="B3" s="26" t="inlineStr">
        <is>
          <t>Nigeria</t>
        </is>
      </c>
      <c r="C3" s="26" t="inlineStr">
        <is>
          <t>Mixed institutional cohort</t>
        </is>
      </c>
      <c r="D3" s="26" t="inlineStr">
        <is>
          <t>Targeted / eligible subscription</t>
        </is>
      </c>
      <c r="E3" s="26" t="inlineStr">
        <is>
          <t>Sahel Capital</t>
        </is>
      </c>
      <c r="F3" s="26" t="inlineStr">
        <is>
          <t>Sahel Agribusiness Private Debt Fund</t>
        </is>
      </c>
      <c r="G3" s="26" t="inlineStr">
        <is>
          <t>Private credit / Agribusiness</t>
        </is>
      </c>
      <c r="H3" s="26" t="inlineStr">
        <is>
          <t>Nigeria</t>
        </is>
      </c>
      <c r="I3" s="26" t="inlineStr">
        <is>
          <t>2026-launched</t>
        </is>
      </c>
      <c r="J3" s="26" t="inlineStr">
        <is>
          <t>NGN 75bn target; NGN 25bn first phase</t>
        </is>
      </c>
      <c r="K3" s="26" t="inlineStr">
        <is>
          <t>NGN</t>
        </is>
      </c>
      <c r="L3" s="26" t="inlineStr">
        <is>
          <t>Launch announcement / trade press</t>
        </is>
      </c>
      <c r="M3" s="26" t="inlineStr">
        <is>
          <t>Ecofin Agency Feb 2026</t>
        </is>
      </c>
      <c r="N3" s="26" t="inlineStr">
        <is>
          <t>M</t>
        </is>
      </c>
      <c r="O3" s="26" t="inlineStr">
        <is>
          <t>Subscription is open to qualified institutional investors including pension funds, but no actual PFA subscription or allocation is disclosed.</t>
        </is>
      </c>
      <c r="P3" s="26" t="inlineStr">
        <is>
          <t>https://www.ecofinagency.com/news-finances/2502-53253-nigerian-investment-firm-sahel-capital-launches-55-million-fund-to-narrow-farm-finance-gap</t>
        </is>
      </c>
    </row>
    <row r="4">
      <c r="A4" s="26" t="inlineStr">
        <is>
          <t>NSSF Uganda</t>
        </is>
      </c>
      <c r="B4" s="26" t="inlineStr">
        <is>
          <t>Uganda</t>
        </is>
      </c>
      <c r="C4" s="26" t="inlineStr">
        <is>
          <t>Public PF (mandatory)</t>
        </is>
      </c>
      <c r="D4" s="26" t="inlineStr">
        <is>
          <t>Planned anchor</t>
        </is>
      </c>
      <c r="E4" s="26" t="inlineStr">
        <is>
          <t>TBD manager</t>
        </is>
      </c>
      <c r="F4" s="26" t="inlineStr">
        <is>
          <t>NSSF Uganda Fund of Funds (planned)</t>
        </is>
      </c>
      <c r="G4" s="26" t="inlineStr">
        <is>
          <t>FoF (PE/VC/Private credit)</t>
        </is>
      </c>
      <c r="H4" s="26" t="inlineStr">
        <is>
          <t>Uganda + EAC</t>
        </is>
      </c>
      <c r="I4" s="26" t="n">
        <v>2026</v>
      </c>
      <c r="J4" s="26" t="inlineStr">
        <is>
          <t>USD 15m+ planned anchor; USD 100m fund target</t>
        </is>
      </c>
      <c r="K4" s="26" t="inlineStr">
        <is>
          <t>USD</t>
        </is>
      </c>
      <c r="L4" s="26" t="inlineStr">
        <is>
          <t>Trade press</t>
        </is>
      </c>
      <c r="M4" s="26" t="inlineStr">
        <is>
          <t>ImpactAlpha planned FoF coverage Apr 2026</t>
        </is>
      </c>
      <c r="N4" s="26" t="inlineStr">
        <is>
          <t>M</t>
        </is>
      </c>
      <c r="O4" s="26" t="inlineStr">
        <is>
          <t>Planned/prospective fund of funds; not a closed commitment as of the audit date.</t>
        </is>
      </c>
      <c r="P4" s="26" t="inlineStr"/>
    </row>
    <row r="5">
      <c r="A5" s="26" t="inlineStr">
        <is>
          <t>The Sovereign Fund of Egypt (TSFE)</t>
        </is>
      </c>
      <c r="B5" s="26" t="inlineStr">
        <is>
          <t>Egypt</t>
        </is>
      </c>
      <c r="C5" s="26" t="inlineStr">
        <is>
          <t>SWF (strategic)</t>
        </is>
      </c>
      <c r="D5" s="26" t="inlineStr">
        <is>
          <t>MoU / mandate</t>
        </is>
      </c>
      <c r="E5" s="26" t="inlineStr">
        <is>
          <t>BlackRock</t>
        </is>
      </c>
      <c r="F5" s="26" t="inlineStr">
        <is>
          <t>Climate / infra mandate</t>
        </is>
      </c>
      <c r="G5" s="26" t="inlineStr">
        <is>
          <t>Infrastructure</t>
        </is>
      </c>
      <c r="H5" s="26" t="inlineStr">
        <is>
          <t>Domestic</t>
        </is>
      </c>
      <c r="I5" s="26" t="inlineStr">
        <is>
          <t>ongoing</t>
        </is>
      </c>
      <c r="J5" s="26" t="inlineStr">
        <is>
          <t>Not disclosed</t>
        </is>
      </c>
      <c r="K5" s="26" t="inlineStr">
        <is>
          <t>USD</t>
        </is>
      </c>
      <c r="L5" s="26" t="inlineStr">
        <is>
          <t>Press release / MoU coverage</t>
        </is>
      </c>
      <c r="M5" s="26" t="inlineStr">
        <is>
          <t>BlackRock-TSFE MoU coverage</t>
        </is>
      </c>
      <c r="N5" s="26" t="inlineStr">
        <is>
          <t>M</t>
        </is>
      </c>
      <c r="O5" s="26" t="inlineStr">
        <is>
          <t>MoU/mandate announced; no specific fund commitment or allocation disclosed.</t>
        </is>
      </c>
      <c r="P5" s="26" t="inlineStr"/>
    </row>
    <row r="6">
      <c r="A6" s="26" t="inlineStr">
        <is>
          <t>Kenya Revenue Authority (KRA) Staff Pension Scheme</t>
        </is>
      </c>
      <c r="B6" s="26" t="inlineStr">
        <is>
          <t>Kenya</t>
        </is>
      </c>
      <c r="C6" s="26" t="inlineStr">
        <is>
          <t>Occupational PF (parastatal)</t>
        </is>
      </c>
      <c r="D6" s="26" t="inlineStr">
        <is>
          <t>Member-only mandate evidence</t>
        </is>
      </c>
      <c r="E6" s="26" t="inlineStr">
        <is>
          <t>KEPFIC consortium / multiple managers</t>
        </is>
      </c>
      <c r="F6" s="26" t="inlineStr">
        <is>
          <t>KEPFIC infrastructure + alts mandates</t>
        </is>
      </c>
      <c r="G6" s="26" t="inlineStr">
        <is>
          <t>Infrastructure / Alts</t>
        </is>
      </c>
      <c r="H6" s="26" t="inlineStr">
        <is>
          <t>Kenya + regional</t>
        </is>
      </c>
      <c r="I6" s="26" t="inlineStr">
        <is>
          <t>ongoing</t>
        </is>
      </c>
      <c r="J6" s="26" t="inlineStr">
        <is>
          <t>Part of KEPFIC aggregate member AUM</t>
        </is>
      </c>
      <c r="K6" s="26" t="inlineStr">
        <is>
          <t>KES</t>
        </is>
      </c>
      <c r="L6" s="26" t="inlineStr">
        <is>
          <t>KEPFIC member listing / IFC 2023</t>
        </is>
      </c>
      <c r="M6" s="26" t="inlineStr">
        <is>
          <t>KEPFIC member evidence</t>
        </is>
      </c>
      <c r="N6" s="26" t="inlineStr">
        <is>
          <t>H</t>
        </is>
      </c>
      <c r="O6" s="26" t="inlineStr">
        <is>
          <t>Named KEPFIC member; membership is useful pipeline context but is not an individual allocator-to-vehicle commitment.</t>
        </is>
      </c>
      <c r="P6" s="26" t="inlineStr">
        <is>
          <t>https://www.ifc.org/en/stories/2023/pooling-pensions-in-kenya</t>
        </is>
      </c>
    </row>
    <row r="7">
      <c r="A7" s="26" t="inlineStr">
        <is>
          <t>Safaricom Staff Pension Scheme</t>
        </is>
      </c>
      <c r="B7" s="26" t="inlineStr">
        <is>
          <t>Kenya</t>
        </is>
      </c>
      <c r="C7" s="26" t="inlineStr">
        <is>
          <t>Corporate occupational PF (telecoms)</t>
        </is>
      </c>
      <c r="D7" s="26" t="inlineStr">
        <is>
          <t>Member-only mandate evidence</t>
        </is>
      </c>
      <c r="E7" s="26" t="inlineStr">
        <is>
          <t>KEPFIC consortium / multiple managers</t>
        </is>
      </c>
      <c r="F7" s="26" t="inlineStr">
        <is>
          <t>KEPFIC infrastructure + alts mandates</t>
        </is>
      </c>
      <c r="G7" s="26" t="inlineStr">
        <is>
          <t>Infrastructure / Alts</t>
        </is>
      </c>
      <c r="H7" s="26" t="inlineStr">
        <is>
          <t>Kenya + regional</t>
        </is>
      </c>
      <c r="I7" s="26" t="inlineStr">
        <is>
          <t>ongoing</t>
        </is>
      </c>
      <c r="J7" s="26" t="inlineStr">
        <is>
          <t>Part of KEPFIC aggregate member AUM</t>
        </is>
      </c>
      <c r="K7" s="26" t="inlineStr">
        <is>
          <t>KES</t>
        </is>
      </c>
      <c r="L7" s="26" t="inlineStr">
        <is>
          <t>KEPFIC member listing</t>
        </is>
      </c>
      <c r="M7" s="26" t="inlineStr">
        <is>
          <t>KEPFIC member evidence</t>
        </is>
      </c>
      <c r="N7" s="26" t="inlineStr">
        <is>
          <t>H</t>
        </is>
      </c>
      <c r="O7" s="26" t="inlineStr">
        <is>
          <t>Named KEPFIC member; membership is useful pipeline context but is not an individual allocator-to-vehicle commitment.</t>
        </is>
      </c>
      <c r="P7" s="26" t="inlineStr">
        <is>
          <t>https://www.ifc.org/en/stories/2023/pooling-pensions-in-kenya</t>
        </is>
      </c>
    </row>
    <row r="8">
      <c r="A8" s="26" t="inlineStr">
        <is>
          <t>KenGen Staff Retirement Benefits Scheme</t>
        </is>
      </c>
      <c r="B8" s="26" t="inlineStr">
        <is>
          <t>Kenya</t>
        </is>
      </c>
      <c r="C8" s="26" t="inlineStr">
        <is>
          <t>Occupational PF (parastatal)</t>
        </is>
      </c>
      <c r="D8" s="26" t="inlineStr">
        <is>
          <t>Member-only mandate evidence</t>
        </is>
      </c>
      <c r="E8" s="26" t="inlineStr">
        <is>
          <t>KEPFIC consortium</t>
        </is>
      </c>
      <c r="F8" s="26" t="inlineStr">
        <is>
          <t>KEPFIC infrastructure + alts mandates</t>
        </is>
      </c>
      <c r="G8" s="26" t="inlineStr">
        <is>
          <t>Infrastructure / Alts</t>
        </is>
      </c>
      <c r="H8" s="26" t="inlineStr">
        <is>
          <t>Kenya + regional</t>
        </is>
      </c>
      <c r="I8" s="26" t="inlineStr">
        <is>
          <t>ongoing</t>
        </is>
      </c>
      <c r="J8" s="26" t="inlineStr">
        <is>
          <t>Part of KEPFIC aggregate member AUM</t>
        </is>
      </c>
      <c r="K8" s="26" t="inlineStr">
        <is>
          <t>KES</t>
        </is>
      </c>
      <c r="L8" s="26" t="inlineStr">
        <is>
          <t>KEPFIC member listing</t>
        </is>
      </c>
      <c r="M8" s="26" t="inlineStr">
        <is>
          <t>KEPFIC member evidence</t>
        </is>
      </c>
      <c r="N8" s="26" t="inlineStr">
        <is>
          <t>H</t>
        </is>
      </c>
      <c r="O8" s="26" t="inlineStr">
        <is>
          <t>Named KEPFIC member; membership is useful pipeline context but is not an individual allocator-to-vehicle commitment.</t>
        </is>
      </c>
      <c r="P8" s="26" t="inlineStr">
        <is>
          <t>https://www.ifc.org/en/stories/2023/pooling-pensions-in-kenya</t>
        </is>
      </c>
    </row>
    <row r="9">
      <c r="A9" s="26" t="inlineStr">
        <is>
          <t>Kenya Pipeline Company Staff Retirement Benefits Scheme</t>
        </is>
      </c>
      <c r="B9" s="26" t="inlineStr">
        <is>
          <t>Kenya</t>
        </is>
      </c>
      <c r="C9" s="26" t="inlineStr">
        <is>
          <t>Occupational PF (parastatal)</t>
        </is>
      </c>
      <c r="D9" s="26" t="inlineStr">
        <is>
          <t>Member-only mandate evidence</t>
        </is>
      </c>
      <c r="E9" s="26" t="inlineStr">
        <is>
          <t>KEPFIC consortium</t>
        </is>
      </c>
      <c r="F9" s="26" t="inlineStr">
        <is>
          <t>KEPFIC infrastructure + alts mandates</t>
        </is>
      </c>
      <c r="G9" s="26" t="inlineStr">
        <is>
          <t>Infrastructure / Alts</t>
        </is>
      </c>
      <c r="H9" s="26" t="inlineStr">
        <is>
          <t>Kenya + regional</t>
        </is>
      </c>
      <c r="I9" s="26" t="inlineStr">
        <is>
          <t>ongoing</t>
        </is>
      </c>
      <c r="J9" s="26" t="inlineStr">
        <is>
          <t>Part of KEPFIC aggregate member AUM</t>
        </is>
      </c>
      <c r="K9" s="26" t="inlineStr">
        <is>
          <t>KES</t>
        </is>
      </c>
      <c r="L9" s="26" t="inlineStr">
        <is>
          <t>KEPFIC member listing</t>
        </is>
      </c>
      <c r="M9" s="26" t="inlineStr">
        <is>
          <t>KEPFIC member evidence</t>
        </is>
      </c>
      <c r="N9" s="26" t="inlineStr">
        <is>
          <t>H</t>
        </is>
      </c>
      <c r="O9" s="26" t="inlineStr">
        <is>
          <t>Named KEPFIC member; membership is useful pipeline context but is not an individual allocator-to-vehicle commitment.</t>
        </is>
      </c>
      <c r="P9" s="26" t="inlineStr">
        <is>
          <t>https://www.ifc.org/en/stories/2023/pooling-pensions-in-kenya</t>
        </is>
      </c>
    </row>
    <row r="10">
      <c r="A10" s="26" t="inlineStr">
        <is>
          <t>National Fund for Municipal Workers (NFMW)</t>
        </is>
      </c>
      <c r="B10" s="26" t="inlineStr">
        <is>
          <t>South Africa</t>
        </is>
      </c>
      <c r="C10" s="26" t="inlineStr">
        <is>
          <t>Multi-employer PF (local gov't)</t>
        </is>
      </c>
      <c r="D10" s="26" t="inlineStr">
        <is>
          <t>Member-only mandate evidence</t>
        </is>
      </c>
      <c r="E10" s="26" t="inlineStr">
        <is>
          <t>AOFSA consortium</t>
        </is>
      </c>
      <c r="F10" s="26" t="inlineStr">
        <is>
          <t>SA infrastructure mandates via AOFSA</t>
        </is>
      </c>
      <c r="G10" s="26" t="inlineStr">
        <is>
          <t>Infrastructure</t>
        </is>
      </c>
      <c r="H10" s="26" t="inlineStr">
        <is>
          <t>South Africa</t>
        </is>
      </c>
      <c r="I10" s="26" t="inlineStr">
        <is>
          <t>ongoing</t>
        </is>
      </c>
      <c r="J10" s="26" t="inlineStr">
        <is>
          <t>Part of AOFSA aggregate commitments</t>
        </is>
      </c>
      <c r="K10" s="26" t="inlineStr">
        <is>
          <t>ZAR</t>
        </is>
      </c>
      <c r="L10" s="26" t="inlineStr">
        <is>
          <t>AOFSA launch coverage / MiDA Advisors</t>
        </is>
      </c>
      <c r="M10" s="26" t="inlineStr">
        <is>
          <t>AOFSA member evidence</t>
        </is>
      </c>
      <c r="N10" s="26" t="inlineStr">
        <is>
          <t>H</t>
        </is>
      </c>
      <c r="O10" s="26" t="inlineStr">
        <is>
          <t>Named AOFSA member; public evidence supports aggregate AOFSA commitments but not a separate member-level commitment record.</t>
        </is>
      </c>
      <c r="P10" s="26" t="inlineStr">
        <is>
          <t>https://www.engineeringnews.co.za/article/aofsa-exceeds-infrastructure-investment-target-as-it-marks-first-anniversary-2022-11-21</t>
        </is>
      </c>
    </row>
    <row r="11">
      <c r="A11" s="26" t="inlineStr">
        <is>
          <t>KwaZulu-Natal Joint Municipal Pension Fund (NJMPF)</t>
        </is>
      </c>
      <c r="B11" s="26" t="inlineStr">
        <is>
          <t>South Africa</t>
        </is>
      </c>
      <c r="C11" s="26" t="inlineStr">
        <is>
          <t>Public sector PF (KZN municipalities)</t>
        </is>
      </c>
      <c r="D11" s="26" t="inlineStr">
        <is>
          <t>Member-only mandate evidence</t>
        </is>
      </c>
      <c r="E11" s="26" t="inlineStr">
        <is>
          <t>AOFSA consortium</t>
        </is>
      </c>
      <c r="F11" s="26" t="inlineStr">
        <is>
          <t>SA infrastructure mandates via AOFSA</t>
        </is>
      </c>
      <c r="G11" s="26" t="inlineStr">
        <is>
          <t>Infrastructure</t>
        </is>
      </c>
      <c r="H11" s="26" t="inlineStr">
        <is>
          <t>South Africa</t>
        </is>
      </c>
      <c r="I11" s="26" t="inlineStr">
        <is>
          <t>ongoing</t>
        </is>
      </c>
      <c r="J11" s="26" t="inlineStr">
        <is>
          <t>Part of AOFSA aggregate commitments</t>
        </is>
      </c>
      <c r="K11" s="26" t="inlineStr">
        <is>
          <t>ZAR</t>
        </is>
      </c>
      <c r="L11" s="26" t="inlineStr">
        <is>
          <t>AOFSA launch coverage</t>
        </is>
      </c>
      <c r="M11" s="26" t="inlineStr">
        <is>
          <t>AOFSA member evidence</t>
        </is>
      </c>
      <c r="N11" s="26" t="inlineStr">
        <is>
          <t>H</t>
        </is>
      </c>
      <c r="O11" s="26" t="inlineStr">
        <is>
          <t>Named AOFSA member; public evidence supports aggregate AOFSA commitments but not a separate member-level commitment record.</t>
        </is>
      </c>
      <c r="P11" s="26" t="inlineStr">
        <is>
          <t>https://www.engineeringnews.co.za/article/aofsa-exceeds-infrastructure-investment-target-as-it-marks-first-anniversary-2022-11-21</t>
        </is>
      </c>
    </row>
    <row r="12">
      <c r="A12" s="26" t="inlineStr">
        <is>
          <t>KZN Municipal Pension Fund</t>
        </is>
      </c>
      <c r="B12" s="26" t="inlineStr">
        <is>
          <t>South Africa</t>
        </is>
      </c>
      <c r="C12" s="26" t="inlineStr">
        <is>
          <t>Public sector PF (local gov't)</t>
        </is>
      </c>
      <c r="D12" s="26" t="inlineStr">
        <is>
          <t>Member-only mandate evidence</t>
        </is>
      </c>
      <c r="E12" s="26" t="inlineStr">
        <is>
          <t>AOFSA consortium</t>
        </is>
      </c>
      <c r="F12" s="26" t="inlineStr">
        <is>
          <t>SA infrastructure mandates via AOFSA</t>
        </is>
      </c>
      <c r="G12" s="26" t="inlineStr">
        <is>
          <t>Infrastructure</t>
        </is>
      </c>
      <c r="H12" s="26" t="inlineStr">
        <is>
          <t>South Africa</t>
        </is>
      </c>
      <c r="I12" s="26" t="inlineStr">
        <is>
          <t>ongoing</t>
        </is>
      </c>
      <c r="J12" s="26" t="inlineStr">
        <is>
          <t>Part of AOFSA aggregate commitments</t>
        </is>
      </c>
      <c r="K12" s="26" t="inlineStr">
        <is>
          <t>ZAR</t>
        </is>
      </c>
      <c r="L12" s="26" t="inlineStr">
        <is>
          <t>AOFSA launch coverage</t>
        </is>
      </c>
      <c r="M12" s="26" t="inlineStr">
        <is>
          <t>AOFSA member evidence</t>
        </is>
      </c>
      <c r="N12" s="26" t="inlineStr">
        <is>
          <t>H</t>
        </is>
      </c>
      <c r="O12" s="26" t="inlineStr">
        <is>
          <t>Named AOFSA member; public evidence supports aggregate AOFSA commitments but not a separate member-level commitment record.</t>
        </is>
      </c>
      <c r="P12" s="26" t="inlineStr">
        <is>
          <t>https://www.engineeringnews.co.za/article/aofsa-exceeds-infrastructure-investment-target-as-it-marks-first-anniversary-2022-11-21</t>
        </is>
      </c>
    </row>
    <row r="13">
      <c r="A13" s="26" t="inlineStr">
        <is>
          <t>Motor Industry Retirement Fund (MIRF)</t>
        </is>
      </c>
      <c r="B13" s="26" t="inlineStr">
        <is>
          <t>South Africa</t>
        </is>
      </c>
      <c r="C13" s="26" t="inlineStr">
        <is>
          <t>Multi-employer PF (motor industry)</t>
        </is>
      </c>
      <c r="D13" s="26" t="inlineStr">
        <is>
          <t>Member-only mandate evidence</t>
        </is>
      </c>
      <c r="E13" s="26" t="inlineStr">
        <is>
          <t>AOFSA consortium</t>
        </is>
      </c>
      <c r="F13" s="26" t="inlineStr">
        <is>
          <t>SA infrastructure mandates via AOFSA</t>
        </is>
      </c>
      <c r="G13" s="26" t="inlineStr">
        <is>
          <t>Infrastructure</t>
        </is>
      </c>
      <c r="H13" s="26" t="inlineStr">
        <is>
          <t>South Africa</t>
        </is>
      </c>
      <c r="I13" s="26" t="inlineStr">
        <is>
          <t>ongoing</t>
        </is>
      </c>
      <c r="J13" s="26" t="inlineStr">
        <is>
          <t>Part of AOFSA aggregate commitments</t>
        </is>
      </c>
      <c r="K13" s="26" t="inlineStr">
        <is>
          <t>ZAR</t>
        </is>
      </c>
      <c r="L13" s="26" t="inlineStr">
        <is>
          <t>AOFSA launch coverage</t>
        </is>
      </c>
      <c r="M13" s="26" t="inlineStr">
        <is>
          <t>AOFSA member evidence</t>
        </is>
      </c>
      <c r="N13" s="26" t="inlineStr">
        <is>
          <t>H</t>
        </is>
      </c>
      <c r="O13" s="26" t="inlineStr">
        <is>
          <t>Named AOFSA member; public evidence supports aggregate AOFSA commitments but not a separate member-level commitment record.</t>
        </is>
      </c>
      <c r="P13" s="26" t="inlineStr">
        <is>
          <t>https://www.engineeringnews.co.za/article/aofsa-exceeds-infrastructure-investment-target-as-it-marks-first-anniversary-2022-11-21</t>
        </is>
      </c>
    </row>
    <row r="14">
      <c r="A14" t="inlineStr">
        <is>
          <t>KEPFIC (Kenya Pension Funds Investment Consortium)</t>
        </is>
      </c>
      <c r="B14" t="inlineStr">
        <is>
          <t>Kenya</t>
        </is>
      </c>
      <c r="C14" t="inlineStr">
        <is>
          <t>Pension consortium / pooled mandate</t>
        </is>
      </c>
      <c r="D14" t="inlineStr">
        <is>
          <t>Pooled mandate / aggregate evidence</t>
        </is>
      </c>
      <c r="E14" t="inlineStr">
        <is>
          <t>Various managers via KEPFIC consortium</t>
        </is>
      </c>
      <c r="F14" t="inlineStr">
        <is>
          <t>KEPFIC pooled mandates (Kenya)</t>
        </is>
      </c>
      <c r="G14" t="inlineStr">
        <is>
          <t>Infrastructure / Alts</t>
        </is>
      </c>
      <c r="H14" t="inlineStr">
        <is>
          <t>Kenya + regional</t>
        </is>
      </c>
      <c r="I14" t="inlineStr">
        <is>
          <t>2019-ongoing</t>
        </is>
      </c>
      <c r="J14" t="inlineStr">
        <is>
          <t>USD 113m mobilized into two housing projects; member AUM ~USD 5bn</t>
        </is>
      </c>
      <c r="K14" t="inlineStr">
        <is>
          <t>USD</t>
        </is>
      </c>
      <c r="L14" t="inlineStr">
        <is>
          <t>Aggregate consortium / pooled mandate</t>
        </is>
      </c>
      <c r="M14" t="inlineStr">
        <is>
          <t>IFC 2023; MiDA Advisors</t>
        </is>
      </c>
      <c r="N14" t="inlineStr">
        <is>
          <t>H</t>
        </is>
      </c>
      <c r="O14" t="inlineStr">
        <is>
          <t>Aggregate pooled mandate / consortium archetype, not a conventional fund vehicle LP row. Kept out of Fund Vehicles and Commitments Database to avoid treating a mandate platform as a fund commitment.</t>
        </is>
      </c>
      <c r="P14" t="inlineStr">
        <is>
          <t>https://www.ifc.org/en/stories/2023/pooling-pensions-in-kenya ; https://www.midaadvisors.com/advisory-firm-financing-the-development-of-critical-infrastructure-in-kenya-with-local-institutional-capital</t>
        </is>
      </c>
    </row>
    <row r="15">
      <c r="A15" t="inlineStr">
        <is>
          <t>Asset Owners Forum of South Africa (AOFSA)</t>
        </is>
      </c>
      <c r="B15" t="inlineStr">
        <is>
          <t>South Africa</t>
        </is>
      </c>
      <c r="C15" t="inlineStr">
        <is>
          <t>Pension consortium / pooled mandate</t>
        </is>
      </c>
      <c r="D15" t="inlineStr">
        <is>
          <t>Pooled mandate / aggregate evidence</t>
        </is>
      </c>
      <c r="E15" t="inlineStr">
        <is>
          <t>Various managers via AOFSA consortium</t>
        </is>
      </c>
      <c r="F15" t="inlineStr">
        <is>
          <t>AOFSA pooled infrastructure mandates (South Africa)</t>
        </is>
      </c>
      <c r="G15" t="inlineStr">
        <is>
          <t>Infrastructure / Alts</t>
        </is>
      </c>
      <c r="H15" t="inlineStr">
        <is>
          <t>South Africa</t>
        </is>
      </c>
      <c r="I15" t="inlineStr">
        <is>
          <t>2021-ongoing</t>
        </is>
      </c>
      <c r="J15" t="inlineStr">
        <is>
          <t>R5.7bn / USD 400m+ collectively committed to infrastructure and other alternatives</t>
        </is>
      </c>
      <c r="K15" t="inlineStr">
        <is>
          <t>ZAR / USD</t>
        </is>
      </c>
      <c r="L15" t="inlineStr">
        <is>
          <t>Aggregate consortium / pooled mandate</t>
        </is>
      </c>
      <c r="M15" t="inlineStr">
        <is>
          <t>Engineering News 2022; MiDA/USAID AOFSA case materials</t>
        </is>
      </c>
      <c r="N15" t="inlineStr">
        <is>
          <t>H</t>
        </is>
      </c>
      <c r="O15" t="inlineStr">
        <is>
          <t>Aggregate pooled mandate / consortium archetype, not a conventional fund vehicle LP row. Kept out of Fund Vehicles and Commitments Database to avoid treating a mandate platform as a fund commitment.</t>
        </is>
      </c>
      <c r="P15" t="inlineStr">
        <is>
          <t>https://www.engineeringnews.co.za/article/aofsa-exceeds-infrastructure-investment-target-as-it-marks-first-anniversary-2022-11-21 ; https://www.midaadvisors.com/advisory-firm-what-we-do/institutional-investors-capacity-development</t>
        </is>
      </c>
    </row>
  </sheetData>
  <autoFilter ref="A1:P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4"/>
  <sheetViews>
    <sheetView zoomScaleNormal="100" workbookViewId="0">
      <pane ySplit="3" topLeftCell="A25" activePane="bottomLeft" state="frozen"/>
      <selection pane="bottomLeft" activeCell="H41" sqref="H41"/>
    </sheetView>
  </sheetViews>
  <sheetFormatPr baseColWidth="8" defaultColWidth="8.7109375" defaultRowHeight="15"/>
  <cols>
    <col width="38" customWidth="1" style="16" min="1" max="1"/>
    <col width="28" customWidth="1" style="16" min="2" max="2"/>
    <col width="14" customWidth="1" style="16" min="3" max="3"/>
    <col width="16" customWidth="1" style="16" min="4" max="4"/>
    <col width="26" customWidth="1" style="16" min="5" max="5"/>
    <col width="28" customWidth="1" style="16" min="6" max="6"/>
    <col width="14" customWidth="1" style="16" min="7" max="7"/>
    <col width="60" customWidth="1" style="16" min="8" max="8"/>
    <col width="8" customWidth="1" style="16" min="9" max="9"/>
    <col width="50" customWidth="1" style="16" min="10" max="10"/>
    <col width="32" customWidth="1" style="16" min="11" max="11"/>
    <col width="50" customWidth="1" style="16" min="12" max="12"/>
  </cols>
  <sheetData>
    <row r="1" ht="27.75" customHeight="1" s="16">
      <c r="A1" s="15" t="inlineStr">
        <is>
          <t>Fund-level view: each row = one fund/vehicle with African pension/SWF involvement, all known LPs broken out.</t>
        </is>
      </c>
    </row>
    <row r="3" ht="45.75" customHeight="1" s="16">
      <c r="A3" s="1" t="inlineStr">
        <is>
          <t>Fund / Vehicle</t>
        </is>
      </c>
      <c r="B3" s="1" t="inlineStr">
        <is>
          <t>Manager / GP</t>
        </is>
      </c>
      <c r="C3" s="1" t="inlineStr">
        <is>
          <t>Vintage</t>
        </is>
      </c>
      <c r="D3" s="1" t="inlineStr">
        <is>
          <t>Fund size (USD m)</t>
        </is>
      </c>
      <c r="E3" s="1" t="inlineStr">
        <is>
          <t>Asset class</t>
        </is>
      </c>
      <c r="F3" s="1" t="inlineStr">
        <is>
          <t>Geographic focus</t>
        </is>
      </c>
      <c r="G3" s="1" t="inlineStr">
        <is>
          <t>African PF/SWF LPs (count)</t>
        </is>
      </c>
      <c r="H3" s="1" t="inlineStr">
        <is>
          <t>Named African PF/SWF LPs</t>
        </is>
      </c>
      <c r="I3" s="1" t="inlineStr">
        <is>
          <t>DFI LPs (count)</t>
        </is>
      </c>
      <c r="J3" s="1" t="inlineStr">
        <is>
          <t>Named DFI LPs</t>
        </is>
      </c>
      <c r="K3" s="1" t="inlineStr">
        <is>
          <t>Other named LPs</t>
        </is>
      </c>
      <c r="L3" s="1" t="inlineStr">
        <is>
          <t>Co-investor pattern note</t>
        </is>
      </c>
    </row>
    <row r="4" ht="34.5" customHeight="1" s="16">
      <c r="A4" s="2" t="inlineStr">
        <is>
          <t>Growth Investment Partners (GIP) Ghana</t>
        </is>
      </c>
      <c r="B4" s="2" t="inlineStr">
        <is>
          <t>BII-established platform</t>
        </is>
      </c>
      <c r="C4" s="2" t="inlineStr">
        <is>
          <t>2023-launched, 2026 expansion</t>
        </is>
      </c>
      <c r="D4" s="2" t="inlineStr">
        <is>
          <t>~70 (incl. Axis + Norfund 2026 round)</t>
        </is>
      </c>
      <c r="E4" s="2" t="inlineStr">
        <is>
          <t>Private credit / SME debt (local currency)</t>
        </is>
      </c>
      <c r="F4" s="2" t="inlineStr">
        <is>
          <t>Ghana</t>
        </is>
      </c>
      <c r="G4" s="2" t="n">
        <v>1</v>
      </c>
      <c r="H4" s="2" t="inlineStr">
        <is>
          <t>Axis Pension Trust (USD 5m, 2026)</t>
        </is>
      </c>
      <c r="I4" s="2" t="n">
        <v>2</v>
      </c>
      <c r="J4" s="2" t="inlineStr">
        <is>
          <t>BII (anchor), Norfund (USD 15m, 2026)</t>
        </is>
      </c>
      <c r="K4" s="2" t="inlineStr">
        <is>
          <t>—</t>
        </is>
      </c>
      <c r="L4" s="2" t="inlineStr">
        <is>
          <t>BII-anchored DFI + 1 Ghanaian pension trustee. First Ghanaian PF commitment under 5% alts rule.</t>
        </is>
      </c>
    </row>
    <row r="5" ht="23.25" customHeight="1" s="16">
      <c r="A5" s="2" t="inlineStr">
        <is>
          <t>Growth Investment Partners (GIP) Zambia</t>
        </is>
      </c>
      <c r="B5" s="2" t="inlineStr">
        <is>
          <t>BII-established platform</t>
        </is>
      </c>
      <c r="C5" s="2" t="inlineStr">
        <is>
          <t>2025</t>
        </is>
      </c>
      <c r="D5" s="2" t="n">
        <v>70</v>
      </c>
      <c r="E5" s="2" t="inlineStr">
        <is>
          <t>Private credit / SME debt (local currency)</t>
        </is>
      </c>
      <c r="F5" s="2" t="inlineStr">
        <is>
          <t>Zambia</t>
        </is>
      </c>
      <c r="G5" s="2" t="n">
        <v>1</v>
      </c>
      <c r="H5" s="2" t="inlineStr">
        <is>
          <t>NAPSA Zambia (USD 17.5m)</t>
        </is>
      </c>
      <c r="I5" s="2" t="n">
        <v>2</v>
      </c>
      <c r="J5" s="2" t="inlineStr">
        <is>
          <t>BII (USD 37.5m anchor), Swedfund (USD 15m)</t>
        </is>
      </c>
      <c r="K5" s="2" t="inlineStr">
        <is>
          <t>—</t>
        </is>
      </c>
      <c r="L5" s="2" t="inlineStr">
        <is>
          <t>Largest single disclosed Zambian-pension alts commitment. Trilateral DFI+pension anchor model.</t>
        </is>
      </c>
    </row>
    <row r="6" ht="23.25" customHeight="1" s="16">
      <c r="A6" s="2" t="inlineStr">
        <is>
          <t>Ci-Gaba Fund of Funds</t>
        </is>
      </c>
      <c r="B6" s="2" t="inlineStr">
        <is>
          <t>Savannah Impact Advisory</t>
        </is>
      </c>
      <c r="C6" s="2" t="inlineStr">
        <is>
          <t>2026</t>
        </is>
      </c>
      <c r="D6" s="2" t="inlineStr">
        <is>
          <t>35 first close (target 91)</t>
        </is>
      </c>
      <c r="E6" s="2" t="inlineStr">
        <is>
          <t>FoF (PE/VC/Private credit)</t>
        </is>
      </c>
      <c r="F6" s="2" t="inlineStr">
        <is>
          <t>Ghana + Nigeria + Senegal + Côte d'Ivoire</t>
        </is>
      </c>
      <c r="G6" s="2" t="inlineStr">
        <is>
          <t>2 + ~3 intermediated</t>
        </is>
      </c>
      <c r="H6" s="2" t="inlineStr">
        <is>
          <t>Axis Pension Trust, Enterprise Trustees, plus Stanbic IMS Ghana &amp; CAL AM Ghana managing additional pension money</t>
        </is>
      </c>
      <c r="I6" s="2" t="n">
        <v>2</v>
      </c>
      <c r="J6" s="2" t="inlineStr">
        <is>
          <t>FSD Africa Investments (USD 7.5m), FMO</t>
        </is>
      </c>
      <c r="K6" s="2" t="inlineStr">
        <is>
          <t>Small Foundation</t>
        </is>
      </c>
      <c r="L6" s="2" t="inlineStr">
        <is>
          <t>West Africa's first domestically-domiciled private FoF. Ghanaian pensions &gt;2/3 of first close.</t>
        </is>
      </c>
    </row>
    <row r="7" ht="23.25" customHeight="1" s="16">
      <c r="A7" s="2" t="inlineStr">
        <is>
          <t>ARM-Harith Infrastructure Fund I</t>
        </is>
      </c>
      <c r="B7" s="2" t="inlineStr">
        <is>
          <t>ARM-Harith JV</t>
        </is>
      </c>
      <c r="C7" s="2" t="inlineStr">
        <is>
          <t>2015 close</t>
        </is>
      </c>
      <c r="D7" s="2" t="inlineStr">
        <is>
          <t>~30</t>
        </is>
      </c>
      <c r="E7" s="2" t="inlineStr">
        <is>
          <t>Infrastructure</t>
        </is>
      </c>
      <c r="F7" s="2" t="inlineStr">
        <is>
          <t>Nigeria</t>
        </is>
      </c>
      <c r="G7" s="2" t="inlineStr">
        <is>
          <t>multiple (Nigerian PFAs)</t>
        </is>
      </c>
      <c r="H7" s="2" t="inlineStr">
        <is>
          <t>Stanbic IBTC Pension Managers, ARM Pension, other PFAs (named in industry coverage)</t>
        </is>
      </c>
      <c r="I7" s="2" t="n">
        <v>0</v>
      </c>
      <c r="J7" s="2" t="inlineStr">
        <is>
          <t>—</t>
        </is>
      </c>
      <c r="K7" s="2" t="inlineStr">
        <is>
          <t>—</t>
        </is>
      </c>
      <c r="L7" s="2" t="inlineStr">
        <is>
          <t>Landmark first-Nigerian-pension-funded infra fund.</t>
        </is>
      </c>
    </row>
    <row r="8" ht="34.5" customHeight="1" s="16">
      <c r="A8" s="2" t="inlineStr">
        <is>
          <t>Oyass Capital</t>
        </is>
      </c>
      <c r="B8" s="2" t="inlineStr">
        <is>
          <t>SEAF (Small Enterprise Assistance Funds)</t>
        </is>
      </c>
      <c r="C8" s="2" t="inlineStr">
        <is>
          <t>2024</t>
        </is>
      </c>
      <c r="D8" s="2" t="inlineStr">
        <is>
          <t>~82 (XOF 50bn)</t>
        </is>
      </c>
      <c r="E8" s="2" t="inlineStr">
        <is>
          <t>PE / SME</t>
        </is>
      </c>
      <c r="F8" s="2" t="inlineStr">
        <is>
          <t>Senegal</t>
        </is>
      </c>
      <c r="G8" s="2" t="n">
        <v>1</v>
      </c>
      <c r="H8" s="2" t="inlineStr">
        <is>
          <t>FONSIS</t>
        </is>
      </c>
      <c r="I8" s="2" t="n">
        <v>1</v>
      </c>
      <c r="J8" s="2" t="inlineStr">
        <is>
          <t>KfW (German cooperation)</t>
        </is>
      </c>
      <c r="K8" s="2" t="inlineStr">
        <is>
          <t>—</t>
        </is>
      </c>
      <c r="L8" s="2" t="inlineStr">
        <is>
          <t>FONSIS + KfW launch; SEAF mandate award after international tender.</t>
        </is>
      </c>
    </row>
    <row r="9" ht="23.25" customHeight="1" s="16">
      <c r="A9" s="2" t="inlineStr">
        <is>
          <t>Yield Uganda Investment Fund</t>
        </is>
      </c>
      <c r="B9" s="2" t="inlineStr">
        <is>
          <t>Pearl Capital Partners</t>
        </is>
      </c>
      <c r="C9" s="2" t="inlineStr">
        <is>
          <t>2017</t>
        </is>
      </c>
      <c r="D9" s="2" t="inlineStr">
        <is>
          <t>~22 (EUR 20m total commitments to date)</t>
        </is>
      </c>
      <c r="E9" s="2" t="inlineStr">
        <is>
          <t>PE / Agribusiness</t>
        </is>
      </c>
      <c r="F9" s="2" t="inlineStr">
        <is>
          <t>Uganda</t>
        </is>
      </c>
      <c r="G9" s="2" t="n">
        <v>1</v>
      </c>
      <c r="H9" s="2" t="inlineStr">
        <is>
          <t>NSSF Uganda (EUR 12m founding)</t>
        </is>
      </c>
      <c r="I9" s="2" t="n">
        <v>3</v>
      </c>
      <c r="J9" s="2" t="inlineStr">
        <is>
          <t>EU (via IFAD), Soros Economic Development Fund (OSF), FCA Investments</t>
        </is>
      </c>
      <c r="K9" s="2" t="inlineStr">
        <is>
          <t>—</t>
        </is>
      </c>
      <c r="L9" s="2" t="inlineStr">
        <is>
          <t>NSSF Uganda founding LP alongside EU + IFAD. [Phase 6 correction: NSSF Uganda's founding contribution was EUR 2m (not EUR 12m); EUR 12m was the TOTAL first close including EU/IFAD EUR 10m. Later EUR 8m added by Soros Economic Development Fund + FCA Investments brought total to EUR 20m.]</t>
        </is>
      </c>
    </row>
    <row r="10" ht="34.5" customHeight="1" s="16">
      <c r="A10" s="2" t="inlineStr">
        <is>
          <t>Ascent Rift Valley Fund I (ARVF I)</t>
        </is>
      </c>
      <c r="B10" s="2" t="inlineStr">
        <is>
          <t>Ascent Capital Africa</t>
        </is>
      </c>
      <c r="C10" s="2" t="inlineStr">
        <is>
          <t>2014–2015</t>
        </is>
      </c>
      <c r="D10" s="2" t="n">
        <v>50</v>
      </c>
      <c r="E10" s="2" t="inlineStr">
        <is>
          <t>PE / SME growth</t>
        </is>
      </c>
      <c r="F10" s="2" t="inlineStr">
        <is>
          <t>Kenya, Uganda, Ethiopia</t>
        </is>
      </c>
      <c r="G10" s="2" t="n">
        <v>2</v>
      </c>
      <c r="H10" s="2" t="inlineStr">
        <is>
          <t>KPLC Pension Fund (USD 4m, 2014 — 'first East African pension LP in PE'), NMG Pension Fund (USD 1m, 2015 via STANLIB)</t>
        </is>
      </c>
      <c r="I10" s="2" t="n">
        <v>2</v>
      </c>
      <c r="J10" s="2" t="inlineStr">
        <is>
          <t>Norfund, OeEB (Austria)</t>
        </is>
      </c>
      <c r="K10" s="2" t="inlineStr">
        <is>
          <t>Family offices, other institutional investors</t>
        </is>
      </c>
      <c r="L10" s="2" t="inlineStr">
        <is>
          <t>Historical pioneer fund for East African pension PE participation.</t>
        </is>
      </c>
    </row>
    <row r="11" ht="23.25" customHeight="1" s="16">
      <c r="A11" s="2" t="inlineStr">
        <is>
          <t>Ascent Rift Valley Fund II (ARVF II)</t>
        </is>
      </c>
      <c r="B11" s="2" t="inlineStr">
        <is>
          <t>Ascent Capital Africa</t>
        </is>
      </c>
      <c r="C11" s="2" t="inlineStr">
        <is>
          <t>2018-2020</t>
        </is>
      </c>
      <c r="D11" s="2" t="inlineStr">
        <is>
          <t>~80-120</t>
        </is>
      </c>
      <c r="E11" s="2" t="inlineStr">
        <is>
          <t>PE / SME growth</t>
        </is>
      </c>
      <c r="F11" s="2" t="inlineStr">
        <is>
          <t>Kenya, Uganda, Ethiopia, Rwanda, Tanzania</t>
        </is>
      </c>
      <c r="G11" s="2" t="inlineStr">
        <is>
          <t>3 separate commitments</t>
        </is>
      </c>
      <c r="H11" s="2" t="inlineStr">
        <is>
          <t>KPLC Pension Fund x2 (likely main + Staff RBS), NMG Pension Fund</t>
        </is>
      </c>
      <c r="I11" s="2" t="n">
        <v>6</v>
      </c>
      <c r="J11" s="2" t="inlineStr">
        <is>
          <t>BII, BIO, FMO, IFC, Norfund, Proparco</t>
        </is>
      </c>
      <c r="K11" s="2" t="inlineStr">
        <is>
          <t>SDG Frontier Fund; PTA Zep-Re</t>
        </is>
      </c>
      <c r="L11" s="2" t="inlineStr">
        <is>
          <t>Strong DFI cluster alongside re-up of East African pension LPs. Source narrative: ARVF was 'the only local PE fund continually unlocking local pension investment' as of 2015.</t>
        </is>
      </c>
    </row>
    <row r="12" ht="34.5" customHeight="1" s="16">
      <c r="A12" s="2" t="inlineStr">
        <is>
          <t>Adenia Capital V</t>
        </is>
      </c>
      <c r="B12" s="2" t="inlineStr">
        <is>
          <t>Adenia Partners</t>
        </is>
      </c>
      <c r="C12" s="2" t="n">
        <v>2024</v>
      </c>
      <c r="D12" s="2" t="n">
        <v>470</v>
      </c>
      <c r="E12" s="2" t="inlineStr">
        <is>
          <t>PE</t>
        </is>
      </c>
      <c r="F12" s="2" t="inlineStr">
        <is>
          <t>Pan-Africa</t>
        </is>
      </c>
      <c r="G12" s="2" t="inlineStr">
        <is>
          <t>&gt;2 (named) + categorical</t>
        </is>
      </c>
      <c r="H12" s="2" t="inlineStr">
        <is>
          <t>PIC South Africa (named); Kenyan pension funds (cohort); Ghanaian pension funds (cohort)</t>
        </is>
      </c>
      <c r="I12" s="2" t="n">
        <v>10</v>
      </c>
      <c r="J12" s="2" t="inlineStr">
        <is>
          <t>FMO, Proparco, IFC, DEG, EIB, SIFEM, DFC, Norfund, FinDev Canada, Bpifrance (i.e., 10 DFIs per EIB disclosure)</t>
        </is>
      </c>
      <c r="K12" s="2" t="inlineStr">
        <is>
          <t>Blue Earth Capital, Casey Family Programs, South Suez Capital, European family offices</t>
        </is>
      </c>
      <c r="L12" s="2" t="inlineStr">
        <is>
          <t>~30 LPs total; &gt;60% historical DFI re-ups; categorical 'Kenyan + Ghanaian pension funds' mentioned in press release but not individually named. [Phase 6 update: comprehensive LP list confirmed via EIB disclosure. 10 DFIs + PIC SA + categorical Kenyan/Ghanaian PFs + family offices = ~30 LP entities total.]</t>
        </is>
      </c>
    </row>
    <row r="13" ht="34.5" customHeight="1" s="16">
      <c r="A13" s="2" t="inlineStr">
        <is>
          <t>Catalyst Fund II</t>
        </is>
      </c>
      <c r="B13" s="2" t="inlineStr">
        <is>
          <t>Catalyst Principal Partners</t>
        </is>
      </c>
      <c r="C13" s="2" t="n">
        <v>2017</v>
      </c>
      <c r="D13" s="2" t="n">
        <v>155</v>
      </c>
      <c r="E13" s="2" t="inlineStr">
        <is>
          <t>PE</t>
        </is>
      </c>
      <c r="F13" s="2" t="inlineStr">
        <is>
          <t>Kenya, Uganda, Tanzania, Ethiopia, Zambia, Rwanda, DRC</t>
        </is>
      </c>
      <c r="G13" s="2" t="inlineStr">
        <is>
          <t>1+ (cohort)</t>
        </is>
      </c>
      <c r="H13" s="2" t="inlineStr">
        <is>
          <t>'Local pension funds' (NSSF Uganda likely; others not named)</t>
        </is>
      </c>
      <c r="I13" s="2" t="n">
        <v>5</v>
      </c>
      <c r="J13" s="2" t="inlineStr">
        <is>
          <t>BII (USD 30m), EIB, IFC, Proparco, Swedfund</t>
        </is>
      </c>
      <c r="K13" s="2" t="inlineStr">
        <is>
          <t>Family offices, regional investors</t>
        </is>
      </c>
      <c r="L13" s="2" t="inlineStr">
        <is>
          <t>Single largest East African PE fund with disclosed local-pension cohort.</t>
        </is>
      </c>
    </row>
    <row r="14" ht="23.25" customHeight="1" s="16">
      <c r="A14" s="2" t="inlineStr">
        <is>
          <t>Helios Investors II/III/IV (historical)</t>
        </is>
      </c>
      <c r="B14" s="2" t="inlineStr">
        <is>
          <t>Helios Investment Partners</t>
        </is>
      </c>
      <c r="C14" s="2" t="inlineStr">
        <is>
          <t>2009-2020</t>
        </is>
      </c>
      <c r="D14" s="2" t="inlineStr">
        <is>
          <t>Multi-bn cumulative</t>
        </is>
      </c>
      <c r="E14" s="2" t="inlineStr">
        <is>
          <t>PE</t>
        </is>
      </c>
      <c r="F14" s="2" t="inlineStr">
        <is>
          <t>Pan-Africa</t>
        </is>
      </c>
      <c r="G14" s="2" t="n">
        <v>1</v>
      </c>
      <c r="H14" s="2" t="inlineStr">
        <is>
          <t>PIC South Africa (historical, recurring)</t>
        </is>
      </c>
      <c r="I14" s="2" t="inlineStr">
        <is>
          <t>multiple</t>
        </is>
      </c>
      <c r="J14" s="2" t="inlineStr">
        <is>
          <t>BII (since 2007), various DFIs</t>
        </is>
      </c>
      <c r="K14" s="2" t="inlineStr">
        <is>
          <t>Global pension funds, SWFs, endowments, family offices</t>
        </is>
      </c>
      <c r="L14" s="2" t="inlineStr">
        <is>
          <t>PIC has been recurring LP since Helios II; sizes not publicly disclosed.</t>
        </is>
      </c>
    </row>
    <row r="15" ht="23.25" customHeight="1" s="16">
      <c r="A15" s="2" t="inlineStr">
        <is>
          <t>Vantage Mezzanine IV (Pan-African sub-fund)</t>
        </is>
      </c>
      <c r="B15" s="2" t="inlineStr">
        <is>
          <t>Vantage Capital</t>
        </is>
      </c>
      <c r="C15" s="2" t="n">
        <v>2021</v>
      </c>
      <c r="D15" s="2" t="inlineStr">
        <is>
          <t>~350 target</t>
        </is>
      </c>
      <c r="E15" s="2" t="inlineStr">
        <is>
          <t>Private credit / Mezzanine</t>
        </is>
      </c>
      <c r="F15" s="2" t="inlineStr">
        <is>
          <t>Pan-Africa + Southern Africa</t>
        </is>
      </c>
      <c r="G15" s="2" t="inlineStr">
        <is>
          <t>multiple (cohort)</t>
        </is>
      </c>
      <c r="H15" s="2" t="inlineStr">
        <is>
          <t>'A number of Southern African pension funds' (per Vantage disclosure; SA pension funds incl. BPOPF — see Phase 2 entry)</t>
        </is>
      </c>
      <c r="I15" s="2" t="n">
        <v>6</v>
      </c>
      <c r="J15" s="2" t="inlineStr">
        <is>
          <t>IFC, EIB, BII, Norfund, DEG, Finnfund</t>
        </is>
      </c>
      <c r="K15" s="2" t="inlineStr">
        <is>
          <t>European endowments, private-sector insurers</t>
        </is>
      </c>
      <c r="L15" s="2" t="inlineStr">
        <is>
          <t>Vantage's 'historical pattern' of substantial SA pension LP base; specific names not publicly itemised.</t>
        </is>
      </c>
    </row>
    <row r="16" ht="23.25" customHeight="1" s="16">
      <c r="A16" s="2" t="inlineStr">
        <is>
          <t>Mediterrania Capital II / III / IV</t>
        </is>
      </c>
      <c r="B16" s="2" t="inlineStr">
        <is>
          <t>Mediterrania Capital Partners</t>
        </is>
      </c>
      <c r="C16" s="2" t="inlineStr">
        <is>
          <t>Various 2014-2024</t>
        </is>
      </c>
      <c r="D16" s="2" t="inlineStr">
        <is>
          <t>EUR multi-100m</t>
        </is>
      </c>
      <c r="E16" s="2" t="inlineStr">
        <is>
          <t>PE</t>
        </is>
      </c>
      <c r="F16" s="2" t="inlineStr">
        <is>
          <t>North Africa + Sub-Saharan</t>
        </is>
      </c>
      <c r="G16" s="2" t="n">
        <v>1</v>
      </c>
      <c r="H16" s="2" t="inlineStr">
        <is>
          <t>CDG Morocco (historical LP)</t>
        </is>
      </c>
      <c r="I16" s="2" t="inlineStr">
        <is>
          <t>multiple</t>
        </is>
      </c>
      <c r="J16" s="2" t="inlineStr">
        <is>
          <t>CDP Group (Italy), EIB, AfDB, others (varying by vintage)</t>
        </is>
      </c>
      <c r="K16" s="2" t="inlineStr">
        <is>
          <t>European family offices</t>
        </is>
      </c>
      <c r="L16" s="2" t="inlineStr">
        <is>
          <t>Maghreb-focused; CDG Morocco historical LP.</t>
        </is>
      </c>
    </row>
    <row r="17" ht="34.5" customHeight="1" s="16">
      <c r="A17" s="2" t="inlineStr">
        <is>
          <t>AfricInvest FIVE (Financial Inclusion Vehicle)</t>
        </is>
      </c>
      <c r="B17" s="2" t="inlineStr">
        <is>
          <t>AfricInvest</t>
        </is>
      </c>
      <c r="C17" s="2" t="inlineStr">
        <is>
          <t>Open-ended evergreen (started 2017)</t>
        </is>
      </c>
      <c r="D17" s="2" t="inlineStr">
        <is>
          <t>Multi-100m</t>
        </is>
      </c>
      <c r="E17" s="2" t="inlineStr">
        <is>
          <t>PE / Financial inclusion</t>
        </is>
      </c>
      <c r="F17" s="2" t="inlineStr">
        <is>
          <t>Africa</t>
        </is>
      </c>
      <c r="G17" s="2" t="n">
        <v>1</v>
      </c>
      <c r="H17" s="2" t="inlineStr">
        <is>
          <t>CBK Pension Fund Kenya (since Oct 2018 second close)</t>
        </is>
      </c>
      <c r="I17" s="2" t="n">
        <v>4</v>
      </c>
      <c r="J17" s="2" t="inlineStr">
        <is>
          <t>Norfund, IFU, AfDB (later), KfW (later)</t>
        </is>
      </c>
      <c r="K17" s="2" t="inlineStr">
        <is>
          <t>—</t>
        </is>
      </c>
      <c r="L17" s="2" t="inlineStr">
        <is>
          <t>Evergreen platform; CBK Pension Fund Kenya was first African pension LP in 2018; multiple closes since.</t>
        </is>
      </c>
    </row>
    <row r="18" ht="15" customHeight="1" s="16">
      <c r="A18" s="2" t="inlineStr">
        <is>
          <t>Aleyo Capital Fund I</t>
        </is>
      </c>
      <c r="B18" s="2" t="inlineStr">
        <is>
          <t>Aleyo Capital</t>
        </is>
      </c>
      <c r="C18" s="2" t="n">
        <v>2017</v>
      </c>
      <c r="D18" s="2" t="inlineStr">
        <is>
          <t>~43</t>
        </is>
      </c>
      <c r="E18" s="2" t="inlineStr">
        <is>
          <t>PE / Domestic incubation</t>
        </is>
      </c>
      <c r="F18" s="2" t="inlineStr">
        <is>
          <t>Botswana + regional</t>
        </is>
      </c>
      <c r="G18" s="2" t="n">
        <v>1</v>
      </c>
      <c r="H18" s="2" t="inlineStr">
        <is>
          <t>BPOPF (anchor, BWP 500m / USD ~43m)</t>
        </is>
      </c>
      <c r="I18" s="2" t="n">
        <v>0</v>
      </c>
      <c r="J18" s="2" t="inlineStr">
        <is>
          <t>—</t>
        </is>
      </c>
      <c r="K18" s="2" t="inlineStr">
        <is>
          <t>—</t>
        </is>
      </c>
      <c r="L18" s="2" t="inlineStr">
        <is>
          <t>BPOPF domestic incubation programme — single-LP-anchor model.</t>
        </is>
      </c>
    </row>
    <row r="19" ht="23.25" customHeight="1" s="16">
      <c r="A19" s="2" t="inlineStr">
        <is>
          <t>Africa Lighthouse Capital Fund I</t>
        </is>
      </c>
      <c r="B19" s="2" t="inlineStr">
        <is>
          <t>Africa Lighthouse Capital</t>
        </is>
      </c>
      <c r="C19" s="2" t="n">
        <v>2017</v>
      </c>
      <c r="D19" s="2" t="inlineStr">
        <is>
          <t>~43</t>
        </is>
      </c>
      <c r="E19" s="2" t="inlineStr">
        <is>
          <t>PE / Domestic + regional</t>
        </is>
      </c>
      <c r="F19" s="2" t="inlineStr">
        <is>
          <t>Botswana + regional</t>
        </is>
      </c>
      <c r="G19" s="2" t="n">
        <v>1</v>
      </c>
      <c r="H19" s="2" t="inlineStr">
        <is>
          <t>BPOPF (anchor, BWP 500m / USD ~43m)</t>
        </is>
      </c>
      <c r="I19" s="2" t="n">
        <v>0</v>
      </c>
      <c r="J19" s="2" t="inlineStr">
        <is>
          <t>—</t>
        </is>
      </c>
      <c r="K19" s="2" t="inlineStr">
        <is>
          <t>—</t>
        </is>
      </c>
      <c r="L19" s="2" t="inlineStr">
        <is>
          <t>Sister vehicle to Aleyo; BPOPF anchor.</t>
        </is>
      </c>
    </row>
    <row r="20" ht="23.25" customHeight="1" s="16">
      <c r="A20" s="2" t="inlineStr">
        <is>
          <t>Africa50 (general)</t>
        </is>
      </c>
      <c r="B20" s="2" t="inlineStr">
        <is>
          <t>Africa50 (AfDB-affiliated)</t>
        </is>
      </c>
      <c r="C20" s="2" t="inlineStr">
        <is>
          <t>2014-launched, ongoing</t>
        </is>
      </c>
      <c r="D20" s="2" t="inlineStr">
        <is>
          <t>1,400+ AUM</t>
        </is>
      </c>
      <c r="E20" s="2" t="inlineStr">
        <is>
          <t>Infrastructure platform / direct co-invest</t>
        </is>
      </c>
      <c r="F20" s="2" t="inlineStr">
        <is>
          <t>Pan-Africa</t>
        </is>
      </c>
      <c r="G20" s="2" t="inlineStr">
        <is>
          <t>1 (shareholder; PIC SA)</t>
        </is>
      </c>
      <c r="H20" s="2" t="inlineStr">
        <is>
          <t>PIC SA (USD 40m equity, April 2025); 31+ African government shareholders</t>
        </is>
      </c>
      <c r="I20" s="2" t="n">
        <v>2</v>
      </c>
      <c r="J20" s="2" t="inlineStr">
        <is>
          <t>AfDB (anchor sponsor), Bank Al-Maghrib, BCEAO</t>
        </is>
      </c>
      <c r="K20" s="2" t="inlineStr">
        <is>
          <t>—</t>
        </is>
      </c>
      <c r="L20" s="2" t="inlineStr">
        <is>
          <t>Continental infrastructure platform. PIC's 2025 commitment is largest single PF equity shareholding.</t>
        </is>
      </c>
    </row>
    <row r="21" ht="23.25" customHeight="1" s="16">
      <c r="A21" s="2" t="inlineStr">
        <is>
          <t>Africa50 Infrastructure Acceleration Fund (IAF)</t>
        </is>
      </c>
      <c r="B21" s="2" t="inlineStr">
        <is>
          <t>Africa50</t>
        </is>
      </c>
      <c r="C21" s="2" t="n">
        <v>2024</v>
      </c>
      <c r="D21" s="2" t="inlineStr">
        <is>
          <t>222.5 first close (&gt;275 mobilised)</t>
        </is>
      </c>
      <c r="E21" s="2" t="inlineStr">
        <is>
          <t>Infrastructure (PE-style)</t>
        </is>
      </c>
      <c r="F21" s="2" t="inlineStr">
        <is>
          <t>Pan-Africa</t>
        </is>
      </c>
      <c r="G21" s="2" t="inlineStr">
        <is>
          <t>5+ named</t>
        </is>
      </c>
      <c r="H21" s="2" t="inlineStr">
        <is>
          <t>NSIA Nigeria, CDC Sénégal, CDC Benin, CNSS Togo, CDG Invest Morocco</t>
        </is>
      </c>
      <c r="I21" s="2" t="n">
        <v>2</v>
      </c>
      <c r="J21" s="2" t="inlineStr">
        <is>
          <t>AfDB, IFC</t>
        </is>
      </c>
      <c r="K21" s="2" t="inlineStr">
        <is>
          <t>Attijariwafa Bank (Morocco), Arab Bank for Economic Development in Africa, West African Development Bank (BOAD)</t>
        </is>
      </c>
      <c r="L21" s="2" t="inlineStr">
        <is>
          <t>First major pan-African infra fund MAJORITY-funded by African institutions. Africa50's flagship LP-style vehicle.</t>
        </is>
      </c>
    </row>
    <row r="22" ht="23.25" customHeight="1" s="16">
      <c r="A22" s="2" t="inlineStr">
        <is>
          <t>Africa Finance Corporation (AFC) — equity shareholders</t>
        </is>
      </c>
      <c r="B22" s="2" t="inlineStr">
        <is>
          <t>AFC (multilateral)</t>
        </is>
      </c>
      <c r="C22" s="2" t="inlineStr">
        <is>
          <t>ongoing</t>
        </is>
      </c>
      <c r="D22" s="2" t="inlineStr">
        <is>
          <t>Multi-bn</t>
        </is>
      </c>
      <c r="E22" s="2" t="inlineStr">
        <is>
          <t>Infrastructure / institutional equity vehicle</t>
        </is>
      </c>
      <c r="F22" s="2" t="inlineStr">
        <is>
          <t>Pan-Africa</t>
        </is>
      </c>
      <c r="G22" s="2" t="inlineStr">
        <is>
          <t>10+ African PF/SWF/sovereign shareholders</t>
        </is>
      </c>
      <c r="H22" s="2" t="inlineStr">
        <is>
          <t>PIC SA (USD 100m, 2022), Seychelles Pension Fund, Mauritius NPF + NSF, GIIF Ghana, CNPS Cameroon, CDC Gabon, Côte d'Ivoire, Sierra Leone, Egypt (2024), Rawbank DRC</t>
        </is>
      </c>
      <c r="I22" s="2" t="inlineStr">
        <is>
          <t>0 (DFIs are not AFC shareholders; AFC IS itself a DFI)</t>
        </is>
      </c>
      <c r="J22" s="2" t="inlineStr">
        <is>
          <t>—</t>
        </is>
      </c>
      <c r="K22" s="2" t="inlineStr">
        <is>
          <t>Central Bank of Nigeria 38%; private investors 62%</t>
        </is>
      </c>
      <c r="L22" s="2" t="inlineStr">
        <is>
          <t>Continental institutional-equity vehicle. By count of institutions, AFC participation is the MOST COMMON form of cross-border African pension/SWF alts deployment.</t>
        </is>
      </c>
    </row>
    <row r="23" ht="15" customHeight="1" s="16">
      <c r="A23" s="2" t="inlineStr">
        <is>
          <t>Pembani Remgro Infrastructure Fund</t>
        </is>
      </c>
      <c r="B23" s="2" t="inlineStr">
        <is>
          <t>Pembani Remgro Infrastructure Managers</t>
        </is>
      </c>
      <c r="C23" s="2" t="n">
        <v>2015</v>
      </c>
      <c r="D23" s="2" t="inlineStr">
        <is>
          <t>~625</t>
        </is>
      </c>
      <c r="E23" s="2" t="inlineStr">
        <is>
          <t>Infrastructure</t>
        </is>
      </c>
      <c r="F23" s="2" t="inlineStr">
        <is>
          <t>Pan-Africa</t>
        </is>
      </c>
      <c r="G23" s="2" t="n">
        <v>1</v>
      </c>
      <c r="H23" s="2" t="inlineStr">
        <is>
          <t>PIC South Africa (anchor, ~USD 250m)</t>
        </is>
      </c>
      <c r="I23" s="2" t="inlineStr">
        <is>
          <t>multiple</t>
        </is>
      </c>
      <c r="J23" s="2" t="inlineStr">
        <is>
          <t>Various DFIs and SA institutional investors</t>
        </is>
      </c>
      <c r="K23" s="2" t="inlineStr">
        <is>
          <t>—</t>
        </is>
      </c>
      <c r="L23" s="2" t="inlineStr">
        <is>
          <t>PIC anchor; significant African-LP-funded infra fund.</t>
        </is>
      </c>
    </row>
    <row r="24" ht="23.25" customHeight="1" s="16">
      <c r="A24" s="2" t="inlineStr">
        <is>
          <t>Convergence Partners Communications Infrastructure Fund</t>
        </is>
      </c>
      <c r="B24" s="2" t="inlineStr">
        <is>
          <t>Convergence Partners</t>
        </is>
      </c>
      <c r="C24" s="2" t="inlineStr">
        <is>
          <t>Multiple vintages</t>
        </is>
      </c>
      <c r="D24" s="2" t="inlineStr">
        <is>
          <t>Multi-100m cumulative</t>
        </is>
      </c>
      <c r="E24" s="2" t="inlineStr">
        <is>
          <t>Infrastructure (digital/telecoms)</t>
        </is>
      </c>
      <c r="F24" s="2" t="inlineStr">
        <is>
          <t>Pan-Africa</t>
        </is>
      </c>
      <c r="G24" s="2" t="n">
        <v>1</v>
      </c>
      <c r="H24" s="2" t="inlineStr">
        <is>
          <t>PIC South Africa (historical)</t>
        </is>
      </c>
      <c r="I24" s="2" t="inlineStr">
        <is>
          <t>multiple</t>
        </is>
      </c>
      <c r="J24" s="2" t="inlineStr">
        <is>
          <t>Various DFIs</t>
        </is>
      </c>
      <c r="K24" s="2" t="inlineStr">
        <is>
          <t>—</t>
        </is>
      </c>
      <c r="L24" s="2" t="inlineStr">
        <is>
          <t>Digital infrastructure; PIC participant.</t>
        </is>
      </c>
    </row>
    <row r="25" ht="34.5" customHeight="1" s="16">
      <c r="A25" s="2" t="inlineStr">
        <is>
          <t>Wessal Capital</t>
        </is>
      </c>
      <c r="B25" s="2" t="inlineStr">
        <is>
          <t>Wessal Capital partnership</t>
        </is>
      </c>
      <c r="C25" s="2" t="inlineStr">
        <is>
          <t>active</t>
        </is>
      </c>
      <c r="D25" s="2" t="inlineStr">
        <is>
          <t>USD 2.5bn target</t>
        </is>
      </c>
      <c r="E25" s="2" t="inlineStr">
        <is>
          <t>Direct (real estate / infra)</t>
        </is>
      </c>
      <c r="F25" s="2" t="inlineStr">
        <is>
          <t>Morocco</t>
        </is>
      </c>
      <c r="G25" s="2" t="n">
        <v>1</v>
      </c>
      <c r="H25" s="2" t="inlineStr">
        <is>
          <t>Ithmar Capital (Morocco SWF)</t>
        </is>
      </c>
      <c r="I25" s="2" t="n">
        <v>0</v>
      </c>
      <c r="J25" s="2" t="inlineStr">
        <is>
          <t>—</t>
        </is>
      </c>
      <c r="K25" s="2" t="inlineStr">
        <is>
          <t>Abu Dhabi, Kuwait, Qatar SWFs (Gulf SWF co-investors)</t>
        </is>
      </c>
      <c r="L25" s="2" t="inlineStr">
        <is>
          <t>Joint Morocco + Gulf SWF platform.</t>
        </is>
      </c>
    </row>
    <row r="26" ht="23.25" customHeight="1" s="16">
      <c r="A26" s="2" t="inlineStr">
        <is>
          <t>Mohammed VI Fund for Investment</t>
        </is>
      </c>
      <c r="B26" s="2" t="inlineStr">
        <is>
          <t>Government of Morocco</t>
        </is>
      </c>
      <c r="C26" s="2" t="n">
        <v>2020</v>
      </c>
      <c r="D26" s="2" t="inlineStr">
        <is>
          <t>4,500 capitalisation (MAD 45bn)</t>
        </is>
      </c>
      <c r="E26" s="2" t="inlineStr">
        <is>
          <t>SWF anchor — sectoral funds</t>
        </is>
      </c>
      <c r="F26" s="2" t="inlineStr">
        <is>
          <t>Morocco</t>
        </is>
      </c>
      <c r="G26" s="2" t="n">
        <v>1</v>
      </c>
      <c r="H26" s="2" t="inlineStr">
        <is>
          <t>Mohammed VI Fund itself (the allocator)</t>
        </is>
      </c>
      <c r="I26" s="2" t="n">
        <v>0</v>
      </c>
      <c r="J26" s="2" t="inlineStr">
        <is>
          <t>—</t>
        </is>
      </c>
      <c r="K26" s="2" t="inlineStr">
        <is>
          <t>Anchors various Moroccan sectoral funds</t>
        </is>
      </c>
      <c r="L26" s="2" t="inlineStr">
        <is>
          <t>Capitalised Moroccan strategic SWF — anchor for sub-funds.</t>
        </is>
      </c>
    </row>
    <row r="27" ht="15" customHeight="1" s="16">
      <c r="A27" s="2" t="inlineStr">
        <is>
          <t>Nigeria Infrastructure Fund (NIF, NSIA sub-fund)</t>
        </is>
      </c>
      <c r="B27" s="2" t="inlineStr">
        <is>
          <t>NSIA Nigeria</t>
        </is>
      </c>
      <c r="C27" s="2" t="inlineStr">
        <is>
          <t>ongoing</t>
        </is>
      </c>
      <c r="D27" s="2" t="inlineStr">
        <is>
          <t>Multi-100m disclosed direct</t>
        </is>
      </c>
      <c r="E27" s="2" t="inlineStr">
        <is>
          <t>Direct / Infrastructure / Agribusiness / Healthcare</t>
        </is>
      </c>
      <c r="F27" s="2" t="inlineStr">
        <is>
          <t>Nigeria</t>
        </is>
      </c>
      <c r="G27" s="2" t="n">
        <v>1</v>
      </c>
      <c r="H27" s="2" t="inlineStr">
        <is>
          <t>NSIA (the SWF itself)</t>
        </is>
      </c>
      <c r="I27" s="2" t="inlineStr">
        <is>
          <t>multiple co-invest</t>
        </is>
      </c>
      <c r="J27" s="2" t="inlineStr">
        <is>
          <t>AfDB co-financing on selected deals; various</t>
        </is>
      </c>
      <c r="K27" s="2" t="inlineStr">
        <is>
          <t>—</t>
        </is>
      </c>
      <c r="L27" s="2" t="inlineStr">
        <is>
          <t>NIF is NSIA's direct-deal sub-fund; received USD 550m additional govt funding FY24.</t>
        </is>
      </c>
    </row>
    <row r="28" ht="23.25" customHeight="1" s="16">
      <c r="A28" s="2" t="inlineStr">
        <is>
          <t>TSFE-ADQ Egyptian Health Platform</t>
        </is>
      </c>
      <c r="B28" s="2" t="inlineStr">
        <is>
          <t>TSFE + ADQ</t>
        </is>
      </c>
      <c r="C28" s="2" t="inlineStr">
        <is>
          <t>active</t>
        </is>
      </c>
      <c r="D28" s="2" t="inlineStr">
        <is>
          <t>USD ~2bn platform</t>
        </is>
      </c>
      <c r="E28" s="2" t="inlineStr">
        <is>
          <t>Direct / Healthcare</t>
        </is>
      </c>
      <c r="F28" s="2" t="inlineStr">
        <is>
          <t>Egypt</t>
        </is>
      </c>
      <c r="G28" s="2" t="n">
        <v>1</v>
      </c>
      <c r="H28" s="2" t="inlineStr">
        <is>
          <t>TSFE (the SWF itself)</t>
        </is>
      </c>
      <c r="I28" s="2" t="n">
        <v>0</v>
      </c>
      <c r="J28" s="2" t="inlineStr">
        <is>
          <t>—</t>
        </is>
      </c>
      <c r="K28" s="2" t="inlineStr">
        <is>
          <t>ADQ (UAE SWF)</t>
        </is>
      </c>
      <c r="L28" s="2" t="inlineStr">
        <is>
          <t>Bilateral SWF healthcare platform.</t>
        </is>
      </c>
    </row>
    <row r="29" ht="45.75" customHeight="1" s="16">
      <c r="A29" s="2" t="inlineStr">
        <is>
          <t>Sahel Capital Fund for Agricultural Finance in Nigeria (FAFIN)</t>
        </is>
      </c>
      <c r="B29" s="2" t="inlineStr">
        <is>
          <t>Sahel Capital</t>
        </is>
      </c>
      <c r="C29" s="2" t="n">
        <v>2017</v>
      </c>
      <c r="D29" s="2" t="n">
        <v>65.90000000000001</v>
      </c>
      <c r="E29" s="2" t="inlineStr">
        <is>
          <t>PE / Agribusiness</t>
        </is>
      </c>
      <c r="F29" s="2" t="inlineStr">
        <is>
          <t>Nigeria</t>
        </is>
      </c>
      <c r="G29" s="2" t="n">
        <v>1</v>
      </c>
      <c r="H29" s="2" t="inlineStr">
        <is>
          <t>NSIA Nigeria</t>
        </is>
      </c>
      <c r="I29" s="2" t="n">
        <v>3</v>
      </c>
      <c r="J29" s="2" t="inlineStr">
        <is>
          <t>AfDB, BII, Dutch Good Growth Fund</t>
        </is>
      </c>
      <c r="K29" s="2" t="inlineStr">
        <is>
          <t>—</t>
        </is>
      </c>
      <c r="L29" s="2" t="inlineStr">
        <is>
          <t>NSIA's earliest disclosed PE fund LP position; alongside three DFIs.</t>
        </is>
      </c>
    </row>
    <row r="30" ht="90.75" customHeight="1" s="16">
      <c r="A30" s="2" t="inlineStr">
        <is>
          <t>Capital Alliance Private Equity I-IV (CAPE)</t>
        </is>
      </c>
      <c r="B30" s="2" t="inlineStr">
        <is>
          <t>African Capital Alliance (ACA)</t>
        </is>
      </c>
      <c r="C30" s="2" t="inlineStr">
        <is>
          <t>1998-ongoing</t>
        </is>
      </c>
      <c r="D30" s="2" t="inlineStr">
        <is>
          <t>&gt;1,000 cumulative</t>
        </is>
      </c>
      <c r="E30" s="2" t="inlineStr">
        <is>
          <t>PE</t>
        </is>
      </c>
      <c r="F30" s="2" t="inlineStr">
        <is>
          <t>Nigeria + West Africa</t>
        </is>
      </c>
      <c r="G30" s="2" t="inlineStr">
        <is>
          <t>historical cohort</t>
        </is>
      </c>
      <c r="H30" s="2" t="inlineStr">
        <is>
          <t>Nigerian PFAs (categorical historical disclosure; ACA explicitly 'championed PE inclusion as allowable Nigerian pension asset class')</t>
        </is>
      </c>
      <c r="I30" s="2" t="inlineStr">
        <is>
          <t>multiple</t>
        </is>
      </c>
      <c r="J30" s="2" t="inlineStr">
        <is>
          <t>BII (CAPE IV); various DFIs across vintages</t>
        </is>
      </c>
      <c r="K30" s="2" t="inlineStr">
        <is>
          <t>—</t>
        </is>
      </c>
      <c r="L30" s="2" t="inlineStr">
        <is>
          <t>First Nigerian PE firm (founded 1997); CAPE I was Nigeria's first PE fund (1998). Continental pioneer of pension-PE inclusion.</t>
        </is>
      </c>
    </row>
    <row r="31" ht="23.25" customHeight="1" s="16">
      <c r="A31" s="2" t="inlineStr">
        <is>
          <t>Rwanda SME Growth Fund</t>
        </is>
      </c>
      <c r="B31" s="2" t="inlineStr">
        <is>
          <t>Enko Capital (Rwanda subsidiary)</t>
        </is>
      </c>
      <c r="C31" s="2" t="n">
        <v>2026</v>
      </c>
      <c r="D31" s="2" t="inlineStr">
        <is>
          <t>30 first close (target 100)</t>
        </is>
      </c>
      <c r="E31" s="2" t="inlineStr">
        <is>
          <t>PE / SME growth (local-currency)</t>
        </is>
      </c>
      <c r="F31" s="2" t="inlineStr">
        <is>
          <t>Rwanda</t>
        </is>
      </c>
      <c r="G31" s="2" t="n">
        <v>1</v>
      </c>
      <c r="H31" s="2" t="inlineStr">
        <is>
          <t>RSSB (Rwanda Social Security Board) — USD 30m anchor + USD 3m TA seed</t>
        </is>
      </c>
      <c r="I31" s="2" t="n">
        <v>1</v>
      </c>
      <c r="J31" s="2" t="inlineStr">
        <is>
          <t>FSD Africa Investments (structuring + planned guarantee)</t>
        </is>
      </c>
      <c r="K31" s="2" t="inlineStr">
        <is>
          <t>—</t>
        </is>
      </c>
      <c r="L31" s="2" t="inlineStr">
        <is>
          <t>First permanent capital vehicle anchored by an African pension fund (per RSSB CEO). Three regional firsts: pension-fund-led SME-only mandate, anchor permanent-capital vehicle, pension-fund TA facility.</t>
        </is>
      </c>
    </row>
    <row r="32" ht="23.25" customHeight="1" s="16">
      <c r="A32" s="2" t="inlineStr">
        <is>
          <t>Mirepa Capital SME Fund I</t>
        </is>
      </c>
      <c r="B32" s="2" t="inlineStr">
        <is>
          <t>Mirepa Investment Advisors</t>
        </is>
      </c>
      <c r="C32" s="2" t="n">
        <v>2023</v>
      </c>
      <c r="D32" s="2" t="inlineStr">
        <is>
          <t>~10-12 (GHS 120m initial close)</t>
        </is>
      </c>
      <c r="E32" s="2" t="inlineStr">
        <is>
          <t>PE / SME growth</t>
        </is>
      </c>
      <c r="F32" s="2" t="inlineStr">
        <is>
          <t>Ghana</t>
        </is>
      </c>
      <c r="G32" s="2" t="inlineStr">
        <is>
          <t>2 named pension trustees + categorical CAMCOL schemes</t>
        </is>
      </c>
      <c r="H32" s="2" t="inlineStr">
        <is>
          <t>Petra Trust; Axis Pensions; multiple schemes via CAL Asset Management Company (CAMCOL); Venture Capital Trust Fund (VCTF)</t>
        </is>
      </c>
      <c r="I32" s="2" t="n">
        <v>0</v>
      </c>
      <c r="J32" s="2" t="inlineStr">
        <is>
          <t>—</t>
        </is>
      </c>
      <c r="K32" s="2" t="inlineStr">
        <is>
          <t>VCTF is a Ghanaian quasi-government VC fund (not strictly a DFI)</t>
        </is>
      </c>
      <c r="L32" s="2" t="inlineStr">
        <is>
          <t>Second Ghana fund anchored solely by local investors (after Injaro IGVCF). 100% local-LP-funded. Confirms Ghana's emerging mandated-minimum-alts policy is producing real deal flow.</t>
        </is>
      </c>
    </row>
    <row r="33" ht="23.25" customHeight="1" s="16">
      <c r="A33" s="2" t="inlineStr">
        <is>
          <t>Injaro Ghana Venture Capital Fund (IGVCF)</t>
        </is>
      </c>
      <c r="B33" s="2" t="inlineStr">
        <is>
          <t>Injaro Investment Advisors</t>
        </is>
      </c>
      <c r="C33" s="2" t="n">
        <v>2023</v>
      </c>
      <c r="D33" s="2" t="inlineStr">
        <is>
          <t>~17.4 (GHS 216m final close Dec 2023)</t>
        </is>
      </c>
      <c r="E33" s="2" t="inlineStr">
        <is>
          <t>PE / SME / VC</t>
        </is>
      </c>
      <c r="F33" s="2" t="inlineStr">
        <is>
          <t>Ghana + Côte d'Ivoire</t>
        </is>
      </c>
      <c r="G33" s="2" t="inlineStr">
        <is>
          <t>multiple Ghanaian pension funds (anchor cohort)</t>
        </is>
      </c>
      <c r="H33" s="2" t="inlineStr">
        <is>
          <t>Specific names not individually disclosed</t>
        </is>
      </c>
      <c r="I33" s="2" t="n">
        <v>0</v>
      </c>
      <c r="J33" s="2" t="inlineStr">
        <is>
          <t>—</t>
        </is>
      </c>
      <c r="K33" s="2" t="inlineStr">
        <is>
          <t>Venture Capital Trust Fund (VCTF) of Ghana</t>
        </is>
      </c>
      <c r="L33" s="2" t="inlineStr">
        <is>
          <t>FIRST Ghana fund of its kind anchored by local pension funds. Historical precedent for Mirepa I, Ci-Gaba, GIP Ghana model. Ghana cedi-denominated.</t>
        </is>
      </c>
    </row>
    <row r="34" ht="23.25" customHeight="1" s="16">
      <c r="A34" t="inlineStr">
        <is>
          <t>Africa Food Security Fund (AFSF)</t>
        </is>
      </c>
      <c r="B34" t="inlineStr">
        <is>
          <t>Zebu Investment Partners</t>
        </is>
      </c>
      <c r="C34" t="n">
        <v>2019</v>
      </c>
      <c r="D34" t="n">
        <v>84</v>
      </c>
      <c r="E34" t="inlineStr">
        <is>
          <t>PE / agriculture / food security</t>
        </is>
      </c>
      <c r="F34" t="inlineStr">
        <is>
          <t>Sub-Saharan Africa</t>
        </is>
      </c>
      <c r="G34" t="n">
        <v>1</v>
      </c>
      <c r="H34" t="inlineStr">
        <is>
          <t>PIC on behalf of GEPF (South Africa)</t>
        </is>
      </c>
      <c r="I34" t="n">
        <v>5</v>
      </c>
      <c r="J34" t="inlineStr">
        <is>
          <t>AfDB; BII (CDC Group); Dutch Good Growth Fund (DGGF); IFU; EBID</t>
        </is>
      </c>
      <c r="K34" t="inlineStr">
        <is>
          <t>Kuramo Capital Management</t>
        </is>
      </c>
      <c r="L34" t="inlineStr">
        <is>
          <t>DGGF news release names PIC/GEPF in first-round investor group alongside DFIs and DGGF; Kuramo subsequently joined to bring commitments to USD 84m.</t>
        </is>
      </c>
    </row>
    <row r="35" ht="23.25" customHeight="1" s="16"/>
    <row r="36" ht="15" customHeight="1" s="16"/>
    <row r="37" ht="34.5" customHeight="1" s="16"/>
    <row r="38" ht="23.25" customHeight="1" s="16"/>
    <row r="39" ht="34.5" customHeight="1" s="16"/>
    <row r="40" ht="34.5" customHeight="1" s="16"/>
    <row r="41" ht="15" customHeight="1" s="16"/>
    <row r="42" ht="45.75" customHeight="1" s="16"/>
    <row r="43" ht="45.75" customHeight="1" s="16"/>
    <row r="44" ht="57" customHeight="1" s="16"/>
    <row r="45" ht="45.75" customHeight="1" s="16"/>
    <row r="46" ht="45.75" customHeight="1" s="16"/>
  </sheetData>
  <autoFilter ref="A1:L46"/>
  <mergeCells count="1">
    <mergeCell ref="A1:L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50"/>
  <sheetViews>
    <sheetView zoomScaleNormal="100" workbookViewId="0">
      <pane ySplit="3" topLeftCell="A4" activePane="bottomLeft" state="frozen"/>
      <selection pane="bottomLeft" activeCell="A1" sqref="A1:E1"/>
    </sheetView>
  </sheetViews>
  <sheetFormatPr baseColWidth="8" defaultColWidth="8.7109375" defaultRowHeight="15"/>
  <cols>
    <col width="34" customWidth="1" style="16" min="1" max="1"/>
    <col width="18" customWidth="1" style="16" min="2" max="2"/>
    <col width="72" customWidth="1" style="16" min="3" max="3"/>
    <col width="62" customWidth="1" style="16" min="4" max="4"/>
    <col width="18" customWidth="1" style="16" min="5" max="5"/>
  </cols>
  <sheetData>
    <row r="1" ht="27.75" customHeight="1" s="16">
      <c r="A1" s="15" t="inlineStr">
        <is>
          <t>DFI co-investor frequency: refreshed after May 2026 inclusion audit; counts only retained vehicles with African PF/SWF involvement.</t>
        </is>
      </c>
    </row>
    <row r="3" ht="45.75" customHeight="1" s="16">
      <c r="A3" s="24" t="inlineStr">
        <is>
          <t>DFI / Catalytic capital provider</t>
        </is>
      </c>
      <c r="B3" s="24" t="inlineStr">
        <is>
          <t>Co-investments in funds with African PF/SWF LP</t>
        </is>
      </c>
      <c r="C3" s="24" t="inlineStr">
        <is>
          <t>Notable vehicles</t>
        </is>
      </c>
      <c r="D3" s="24" t="inlineStr">
        <is>
          <t>Strategic role</t>
        </is>
      </c>
      <c r="E3" s="24" t="inlineStr">
        <is>
          <t>Frequency tier</t>
        </is>
      </c>
    </row>
    <row r="4" ht="23.25" customHeight="1" s="16">
      <c r="A4" s="23" t="inlineStr">
        <is>
          <t>BII</t>
        </is>
      </c>
      <c r="B4" s="23" t="n">
        <v>9</v>
      </c>
      <c r="C4" s="23" t="inlineStr">
        <is>
          <t>Ascent Rift Valley Fund II (ARVF II); Capital Alliance Private Equity I-IV (CAPE); Catalyst Fund II; Growth Investment Partners (GIP) Ghana; Growth Investment Partners (GIP) Zambia; Helios Investors II/III/IV (historical); Sahel Capital Fund for Agricultural Finance in Nigeria (FAFIN); Vantage Mezzanine IV (Pan-African sub-fund); Africa Food Security Fund (AFSF)</t>
        </is>
      </c>
      <c r="D4" s="23" t="inlineStr">
        <is>
          <t>Frequent anchor/catalytic DFI, including BII-established GIP platforms designed to crowd in local pension capital.</t>
        </is>
      </c>
      <c r="E4" s="23" t="inlineStr">
        <is>
          <t>1 (Top tier)</t>
        </is>
      </c>
    </row>
    <row r="5" ht="23.25" customHeight="1" s="16">
      <c r="A5" s="23" t="inlineStr">
        <is>
          <t>AfDB</t>
        </is>
      </c>
      <c r="B5" s="23" t="n">
        <v>7</v>
      </c>
      <c r="C5" s="23" t="inlineStr">
        <is>
          <t>AfricInvest FIVE (Financial Inclusion Vehicle); Africa50 (general); Africa50 Infrastructure Acceleration Fund (IAF); Mediterrania Capital II / III / IV; Nigeria Infrastructure Fund (NIF, NSIA sub-fund); Sahel Capital Fund for Agricultural Finance in Nigeria (FAFIN); Africa Food Security Fund (AFSF)</t>
        </is>
      </c>
      <c r="D5" s="23" t="inlineStr">
        <is>
          <t>Co-investor or catalytic-capital provider appearing in retained vehicles with African PF/SWF participation.</t>
        </is>
      </c>
      <c r="E5" s="23" t="inlineStr">
        <is>
          <t>1 (Top tier)</t>
        </is>
      </c>
    </row>
    <row r="6" ht="34.5" customHeight="1" s="16">
      <c r="A6" s="23" t="inlineStr">
        <is>
          <t>Norfund</t>
        </is>
      </c>
      <c r="B6" s="23" t="n">
        <v>6</v>
      </c>
      <c r="C6" s="23" t="inlineStr">
        <is>
          <t>Adenia Capital V; AfricInvest FIVE (Financial Inclusion Vehicle); Ascent Rift Valley Fund I (ARVF I); Ascent Rift Valley Fund II (ARVF II); Growth Investment Partners (GIP) Ghana; Vantage Mezzanine IV (Pan-African sub-fund)</t>
        </is>
      </c>
      <c r="D6" s="23" t="inlineStr">
        <is>
          <t>Frequent DFI co-investor in SME, infrastructure, and financial inclusion vehicles.</t>
        </is>
      </c>
      <c r="E6" s="23" t="inlineStr">
        <is>
          <t>1 (Top tier)</t>
        </is>
      </c>
    </row>
    <row r="7" ht="34.5" customHeight="1" s="16">
      <c r="A7" s="23" t="inlineStr">
        <is>
          <t>IFC</t>
        </is>
      </c>
      <c r="B7" s="23" t="n">
        <v>5</v>
      </c>
      <c r="C7" s="23" t="inlineStr">
        <is>
          <t>Adenia Capital V; Africa50 Infrastructure Acceleration Fund (IAF); Ascent Rift Valley Fund II (ARVF II); Catalyst Fund II; Vantage Mezzanine IV (Pan-African sub-fund)</t>
        </is>
      </c>
      <c r="D7" s="23" t="inlineStr">
        <is>
          <t>World Bank Group investor and disclosure source; active in flagship PE/infrastructure vehicles.</t>
        </is>
      </c>
      <c r="E7" s="23" t="inlineStr">
        <is>
          <t>2 (Active)</t>
        </is>
      </c>
    </row>
    <row r="8" ht="23.25" customHeight="1" s="16">
      <c r="A8" s="23" t="inlineStr">
        <is>
          <t>EIB</t>
        </is>
      </c>
      <c r="B8" s="23" t="n">
        <v>4</v>
      </c>
      <c r="C8" s="23" t="inlineStr">
        <is>
          <t>Adenia Capital V; Catalyst Fund II; Mediterrania Capital II / III / IV; Vantage Mezzanine IV (Pan-African sub-fund)</t>
        </is>
      </c>
      <c r="D8" s="23" t="inlineStr">
        <is>
          <t>Co-investor or catalytic-capital provider appearing in retained vehicles with African PF/SWF participation.</t>
        </is>
      </c>
      <c r="E8" s="23" t="inlineStr">
        <is>
          <t>2 (Active)</t>
        </is>
      </c>
    </row>
    <row r="9" ht="23.25" customHeight="1" s="16">
      <c r="A9" s="23" t="inlineStr">
        <is>
          <t>FMO</t>
        </is>
      </c>
      <c r="B9" s="23" t="n">
        <v>3</v>
      </c>
      <c r="C9" s="23" t="inlineStr">
        <is>
          <t>Adenia Capital V; Ascent Rift Valley Fund II (ARVF II); Ci-Gaba Fund of Funds</t>
        </is>
      </c>
      <c r="D9" s="23" t="inlineStr">
        <is>
          <t>Frequent co-investor across funds and fund-of-funds with African pension/SWF participation.</t>
        </is>
      </c>
      <c r="E9" s="23" t="inlineStr">
        <is>
          <t>2 (Active)</t>
        </is>
      </c>
    </row>
    <row r="10" ht="23.25" customHeight="1" s="16">
      <c r="A10" s="23" t="inlineStr">
        <is>
          <t>Proparco</t>
        </is>
      </c>
      <c r="B10" s="23" t="n">
        <v>3</v>
      </c>
      <c r="C10" s="23" t="inlineStr">
        <is>
          <t>Adenia Capital V; Ascent Rift Valley Fund II (ARVF II); Catalyst Fund II</t>
        </is>
      </c>
      <c r="D10" s="23" t="inlineStr">
        <is>
          <t>Co-investor or catalytic-capital provider appearing in retained vehicles with African PF/SWF participation.</t>
        </is>
      </c>
      <c r="E10" s="23" t="inlineStr">
        <is>
          <t>2 (Active)</t>
        </is>
      </c>
    </row>
    <row r="11" ht="23.25" customHeight="1" s="16">
      <c r="A11" s="23" t="inlineStr">
        <is>
          <t>DEG</t>
        </is>
      </c>
      <c r="B11" s="23" t="n">
        <v>2</v>
      </c>
      <c r="C11" s="23" t="inlineStr">
        <is>
          <t>Adenia Capital V; Vantage Mezzanine IV (Pan-African sub-fund)</t>
        </is>
      </c>
      <c r="D11" s="23" t="inlineStr">
        <is>
          <t>Co-investor or catalytic-capital provider appearing in retained vehicles with African PF/SWF participation.</t>
        </is>
      </c>
      <c r="E11" s="23" t="inlineStr">
        <is>
          <t>3 (Selective / TA)</t>
        </is>
      </c>
    </row>
    <row r="12" ht="23.25" customHeight="1" s="16">
      <c r="A12" s="23" t="inlineStr">
        <is>
          <t>FSD Africa Investments</t>
        </is>
      </c>
      <c r="B12" s="23" t="n">
        <v>2</v>
      </c>
      <c r="C12" s="23" t="inlineStr">
        <is>
          <t>Ci-Gaba Fund of Funds; Rwanda SME Growth Fund</t>
        </is>
      </c>
      <c r="D12" s="23" t="inlineStr">
        <is>
          <t>Catalytic capital provider focused on local institutional-capital mobilization and product design.</t>
        </is>
      </c>
      <c r="E12" s="23" t="inlineStr">
        <is>
          <t>3 (Selective / TA)</t>
        </is>
      </c>
    </row>
    <row r="13" ht="34.5" customHeight="1" s="16">
      <c r="A13" s="23" t="inlineStr">
        <is>
          <t>KfW</t>
        </is>
      </c>
      <c r="B13" s="23" t="n">
        <v>2</v>
      </c>
      <c r="C13" s="23" t="inlineStr">
        <is>
          <t>AfricInvest FIVE (Financial Inclusion Vehicle); Oyass Capital</t>
        </is>
      </c>
      <c r="D13" s="23" t="inlineStr">
        <is>
          <t>Co-investor or catalytic-capital provider appearing in retained vehicles with African PF/SWF participation.</t>
        </is>
      </c>
      <c r="E13" s="23" t="inlineStr">
        <is>
          <t>3 (Selective / TA)</t>
        </is>
      </c>
    </row>
    <row r="14" ht="15" customHeight="1" s="16">
      <c r="A14" s="23" t="inlineStr">
        <is>
          <t>MiDA Advisors</t>
        </is>
      </c>
      <c r="B14" s="23" t="n">
        <v>2</v>
      </c>
      <c r="C14" s="23" t="inlineStr">
        <is>
          <t>AOFSA pooled infrastructure mandates (South Africa); KEPFIC pooled mandates (Kenya)</t>
        </is>
      </c>
      <c r="D14" s="23" t="inlineStr">
        <is>
          <t>Technical-assistance and transaction-advisory provider for pension-consortium infrastructure pipelines.</t>
        </is>
      </c>
      <c r="E14" s="23" t="inlineStr">
        <is>
          <t>3 (Selective / TA)</t>
        </is>
      </c>
    </row>
    <row r="15" ht="15" customHeight="1" s="16">
      <c r="A15" s="23" t="inlineStr">
        <is>
          <t>Swedfund</t>
        </is>
      </c>
      <c r="B15" s="23" t="n">
        <v>2</v>
      </c>
      <c r="C15" s="23" t="inlineStr">
        <is>
          <t>Catalyst Fund II; Growth Investment Partners (GIP) Zambia</t>
        </is>
      </c>
      <c r="D15" s="23" t="inlineStr">
        <is>
          <t>Co-investor or catalytic-capital provider appearing in retained vehicles with African PF/SWF participation.</t>
        </is>
      </c>
      <c r="E15" s="23" t="inlineStr">
        <is>
          <t>3 (Selective / TA)</t>
        </is>
      </c>
    </row>
    <row r="16" ht="23.25" customHeight="1" s="16">
      <c r="A16" s="23" t="inlineStr">
        <is>
          <t>USAID</t>
        </is>
      </c>
      <c r="B16" s="23" t="n">
        <v>2</v>
      </c>
      <c r="C16" s="23" t="inlineStr">
        <is>
          <t>AOFSA pooled infrastructure mandates (South Africa); KEPFIC pooled mandates (Kenya)</t>
        </is>
      </c>
      <c r="D16" s="23" t="inlineStr">
        <is>
          <t>Technical-assistance provider supporting pension-consortium formation and capacity building.</t>
        </is>
      </c>
      <c r="E16" s="23" t="inlineStr">
        <is>
          <t>3 (Selective / TA)</t>
        </is>
      </c>
    </row>
    <row r="17" ht="15" customHeight="1" s="16">
      <c r="A17" s="23" t="inlineStr">
        <is>
          <t>World Bank / IFC J-CAP</t>
        </is>
      </c>
      <c r="B17" s="23" t="n">
        <v>2</v>
      </c>
      <c r="C17" s="23" t="inlineStr">
        <is>
          <t>AOFSA pooled infrastructure mandates (South Africa); KEPFIC pooled mandates (Kenya)</t>
        </is>
      </c>
      <c r="D17" s="23" t="inlineStr">
        <is>
          <t>Technical-assistance and market-development provider for pension-consortium structures.</t>
        </is>
      </c>
      <c r="E17" s="23" t="inlineStr">
        <is>
          <t>3 (Selective / TA)</t>
        </is>
      </c>
    </row>
    <row r="18" ht="15" customHeight="1" s="16">
      <c r="A18" s="23" t="inlineStr">
        <is>
          <t>BCEAO</t>
        </is>
      </c>
      <c r="B18" s="23" t="n">
        <v>1</v>
      </c>
      <c r="C18" s="23" t="inlineStr">
        <is>
          <t>Africa50 (general)</t>
        </is>
      </c>
      <c r="D18" s="23" t="inlineStr">
        <is>
          <t>Co-investor or catalytic-capital provider appearing in retained vehicles with African PF/SWF participation.</t>
        </is>
      </c>
      <c r="E18" s="23" t="inlineStr">
        <is>
          <t>3 (Selective / TA)</t>
        </is>
      </c>
    </row>
    <row r="19" ht="15" customHeight="1" s="16">
      <c r="A19" s="23" t="inlineStr">
        <is>
          <t>BIO</t>
        </is>
      </c>
      <c r="B19" s="23" t="n">
        <v>1</v>
      </c>
      <c r="C19" s="23" t="inlineStr">
        <is>
          <t>Ascent Rift Valley Fund II (ARVF II)</t>
        </is>
      </c>
      <c r="D19" s="23" t="inlineStr">
        <is>
          <t>Co-investor or catalytic-capital provider appearing in retained vehicles with African PF/SWF participation.</t>
        </is>
      </c>
      <c r="E19" s="23" t="inlineStr">
        <is>
          <t>3 (Selective / TA)</t>
        </is>
      </c>
    </row>
    <row r="20" ht="15" customHeight="1" s="16">
      <c r="A20" s="23" t="inlineStr">
        <is>
          <t>Bank Al-Maghrib</t>
        </is>
      </c>
      <c r="B20" s="23" t="n">
        <v>1</v>
      </c>
      <c r="C20" s="23" t="inlineStr">
        <is>
          <t>Africa50 (general)</t>
        </is>
      </c>
      <c r="D20" s="23" t="inlineStr">
        <is>
          <t>Co-investor or catalytic-capital provider appearing in retained vehicles with African PF/SWF participation.</t>
        </is>
      </c>
      <c r="E20" s="23" t="inlineStr">
        <is>
          <t>3 (Selective / TA)</t>
        </is>
      </c>
    </row>
    <row r="21" ht="15" customHeight="1" s="16">
      <c r="A21" s="23" t="inlineStr">
        <is>
          <t>Batseta Council</t>
        </is>
      </c>
      <c r="B21" s="23" t="n">
        <v>1</v>
      </c>
      <c r="C21" s="23" t="inlineStr">
        <is>
          <t>AOFSA pooled infrastructure mandates (South Africa)</t>
        </is>
      </c>
      <c r="D21" s="23" t="inlineStr">
        <is>
          <t>South African retirement-fund industry body supporting AOFSA secretariat/governance.</t>
        </is>
      </c>
      <c r="E21" s="23" t="inlineStr">
        <is>
          <t>3 (Selective / TA)</t>
        </is>
      </c>
    </row>
    <row r="22" ht="15" customHeight="1" s="16">
      <c r="A22" s="23" t="inlineStr">
        <is>
          <t>CDP Group</t>
        </is>
      </c>
      <c r="B22" s="23" t="n">
        <v>1</v>
      </c>
      <c r="C22" s="23" t="inlineStr">
        <is>
          <t>Mediterrania Capital II / III / IV</t>
        </is>
      </c>
      <c r="D22" s="23" t="inlineStr">
        <is>
          <t>Co-investor or catalytic-capital provider appearing in retained vehicles with African PF/SWF participation.</t>
        </is>
      </c>
      <c r="E22" s="23" t="inlineStr">
        <is>
          <t>3 (Selective / TA)</t>
        </is>
      </c>
    </row>
    <row r="23" ht="23.25" customHeight="1" s="16">
      <c r="A23" s="23" t="inlineStr">
        <is>
          <t>CrossBoundary</t>
        </is>
      </c>
      <c r="B23" s="23" t="n">
        <v>1</v>
      </c>
      <c r="C23" s="23" t="inlineStr">
        <is>
          <t>AOFSA pooled infrastructure mandates (South Africa)</t>
        </is>
      </c>
      <c r="D23" s="23" t="inlineStr">
        <is>
          <t>Technical-assistance provider supporting AOFSA pipeline development.</t>
        </is>
      </c>
      <c r="E23" s="23" t="inlineStr">
        <is>
          <t>3 (Selective / TA)</t>
        </is>
      </c>
    </row>
    <row r="24" ht="15" customHeight="1" s="16">
      <c r="A24" s="23" t="inlineStr">
        <is>
          <t>Dutch Good Growth Fund</t>
        </is>
      </c>
      <c r="B24" s="23" t="n">
        <v>2</v>
      </c>
      <c r="C24" s="23" t="inlineStr">
        <is>
          <t>Sahel Capital Fund for Agricultural Finance in Nigeria (FAFIN); Africa Food Security Fund (AFSF)</t>
        </is>
      </c>
      <c r="D24" s="23" t="inlineStr">
        <is>
          <t>Co-investor or catalytic-capital provider appearing in retained vehicles with African PF/SWF participation.</t>
        </is>
      </c>
      <c r="E24" s="23" t="inlineStr">
        <is>
          <t>3 (Selective / TA)</t>
        </is>
      </c>
    </row>
    <row r="25" ht="15" customHeight="1" s="16">
      <c r="A25" s="23" t="inlineStr">
        <is>
          <t>FCA Investments</t>
        </is>
      </c>
      <c r="B25" s="23" t="n">
        <v>1</v>
      </c>
      <c r="C25" s="23" t="inlineStr">
        <is>
          <t>Yield Uganda Investment Fund</t>
        </is>
      </c>
      <c r="D25" s="23" t="inlineStr">
        <is>
          <t>Co-investor or catalytic-capital provider appearing in retained vehicles with African PF/SWF participation.</t>
        </is>
      </c>
      <c r="E25" s="23" t="inlineStr">
        <is>
          <t>3 (Selective / TA)</t>
        </is>
      </c>
    </row>
    <row r="26" ht="15" customHeight="1" s="16">
      <c r="A26" s="23" t="inlineStr">
        <is>
          <t>FinDev Canada</t>
        </is>
      </c>
      <c r="B26" s="23" t="n">
        <v>1</v>
      </c>
      <c r="C26" s="23" t="inlineStr">
        <is>
          <t>Adenia Capital V</t>
        </is>
      </c>
      <c r="D26" s="23" t="inlineStr">
        <is>
          <t>Co-investor or catalytic-capital provider appearing in retained vehicles with African PF/SWF participation.</t>
        </is>
      </c>
      <c r="E26" s="23" t="inlineStr">
        <is>
          <t>3 (Selective / TA)</t>
        </is>
      </c>
    </row>
    <row r="27" ht="15" customHeight="1" s="16">
      <c r="A27" s="23" t="inlineStr">
        <is>
          <t>IFU</t>
        </is>
      </c>
      <c r="B27" s="23" t="n">
        <v>2</v>
      </c>
      <c r="C27" s="23" t="inlineStr">
        <is>
          <t>AfricInvest FIVE (Financial Inclusion Vehicle); Africa Food Security Fund (AFSF)</t>
        </is>
      </c>
      <c r="D27" s="23" t="inlineStr">
        <is>
          <t>Co-investor or catalytic-capital provider appearing in retained vehicles with African PF/SWF participation.</t>
        </is>
      </c>
      <c r="E27" s="23" t="inlineStr">
        <is>
          <t>3 (Selective / TA)</t>
        </is>
      </c>
    </row>
    <row r="28">
      <c r="A28" s="23" t="inlineStr">
        <is>
          <t>OeEB</t>
        </is>
      </c>
      <c r="B28" s="23" t="n">
        <v>1</v>
      </c>
      <c r="C28" s="23" t="inlineStr">
        <is>
          <t>Ascent Rift Valley Fund I (ARVF I)</t>
        </is>
      </c>
      <c r="D28" s="23" t="inlineStr">
        <is>
          <t>Co-investor or catalytic-capital provider appearing in retained vehicles with African PF/SWF participation.</t>
        </is>
      </c>
      <c r="E28" s="23" t="inlineStr">
        <is>
          <t>3 (Selective / TA)</t>
        </is>
      </c>
    </row>
    <row r="29">
      <c r="A29" s="23" t="inlineStr">
        <is>
          <t>SIFEM</t>
        </is>
      </c>
      <c r="B29" s="23" t="n">
        <v>1</v>
      </c>
      <c r="C29" s="23" t="inlineStr">
        <is>
          <t>Adenia Capital V</t>
        </is>
      </c>
      <c r="D29" s="23" t="inlineStr">
        <is>
          <t>Co-investor or catalytic-capital provider appearing in retained vehicles with African PF/SWF participation.</t>
        </is>
      </c>
      <c r="E29" s="23" t="inlineStr">
        <is>
          <t>3 (Selective / TA)</t>
        </is>
      </c>
    </row>
    <row r="30" ht="15" customHeight="1" s="16">
      <c r="A30" s="23" t="inlineStr">
        <is>
          <t>Soros Economic Development Fund</t>
        </is>
      </c>
      <c r="B30" s="23" t="n">
        <v>1</v>
      </c>
      <c r="C30" s="23" t="inlineStr">
        <is>
          <t>Yield Uganda Investment Fund</t>
        </is>
      </c>
      <c r="D30" s="23" t="inlineStr">
        <is>
          <t>Co-investor or catalytic-capital provider appearing in retained vehicles with African PF/SWF participation.</t>
        </is>
      </c>
      <c r="E30" s="23" t="inlineStr">
        <is>
          <t>3 (Selective / TA)</t>
        </is>
      </c>
    </row>
    <row r="31" ht="109.5" customHeight="1" s="16">
      <c r="A31" s="23" t="inlineStr">
        <is>
          <t>US DFC</t>
        </is>
      </c>
      <c r="B31" s="23" t="n">
        <v>1</v>
      </c>
      <c r="C31" s="23" t="inlineStr">
        <is>
          <t>Adenia Capital V</t>
        </is>
      </c>
      <c r="D31" s="23" t="inlineStr">
        <is>
          <t>Co-investor or catalytic-capital provider appearing in retained vehicles with African PF/SWF participation.</t>
        </is>
      </c>
      <c r="E31" s="23" t="inlineStr">
        <is>
          <t>3 (Selective / TA)</t>
        </is>
      </c>
    </row>
    <row r="32" ht="109.5" customHeight="1" s="16"/>
    <row r="33" ht="109.5" customHeight="1" s="16"/>
    <row r="34" ht="109.5" customHeight="1" s="16"/>
    <row r="35" ht="109.5" customHeight="1" s="16"/>
    <row r="36" ht="109.5" customHeight="1" s="16"/>
    <row r="37" ht="23.25" customHeight="1" s="16"/>
    <row r="38" ht="23.25" customHeight="1" s="16"/>
    <row r="39" ht="23.25" customHeight="1" s="16"/>
    <row r="40" ht="23.25" customHeight="1" s="16"/>
    <row r="41" ht="23.25" customHeight="1" s="16"/>
    <row r="42" ht="102.2" customHeight="1" s="16"/>
    <row r="43" ht="23.85" customHeight="1" s="16"/>
    <row r="44" ht="23.85" customHeight="1" s="16"/>
    <row r="45" ht="23.85" customHeight="1" s="16"/>
    <row r="46" ht="23.85" customHeight="1" s="16"/>
    <row r="47" ht="23.85" customHeight="1" s="16"/>
    <row r="48" ht="129.75" customHeight="1" s="16"/>
    <row r="49">
      <c r="A49" t="inlineStr">
        <is>
          <t>EBID</t>
        </is>
      </c>
      <c r="B49" t="n">
        <v>1</v>
      </c>
      <c r="C49" t="inlineStr">
        <is>
          <t>Africa Food Security Fund (AFSF)</t>
        </is>
      </c>
      <c r="D49" t="inlineStr">
        <is>
          <t>Co-investor or catalytic-capital provider appearing in retained vehicles with African PF/SWF participation.</t>
        </is>
      </c>
      <c r="E49" t="inlineStr">
        <is>
          <t>3 (Selective / TA)</t>
        </is>
      </c>
    </row>
    <row r="50">
      <c r="A50" t="inlineStr">
        <is>
          <t>Kuramo Capital Management</t>
        </is>
      </c>
      <c r="B50" t="n">
        <v>1</v>
      </c>
      <c r="C50" t="inlineStr">
        <is>
          <t>Africa Food Security Fund (AFSF)</t>
        </is>
      </c>
      <c r="D50" t="inlineStr">
        <is>
          <t>Other named LP / fund-of-funds investor appearing in retained vehicles with African PF/SWF participation.</t>
        </is>
      </c>
      <c r="E50" t="inlineStr">
        <is>
          <t>3 (Selective / TA)</t>
        </is>
      </c>
    </row>
  </sheetData>
  <autoFilter ref="A3:E27"/>
  <mergeCells count="3">
    <mergeCell ref="A1:E1"/>
    <mergeCell ref="A48:E48"/>
    <mergeCell ref="A36:E36"/>
  </mergeCells>
  <conditionalFormatting sqref="B4:B27">
    <cfRule type="colorScale" priority="2">
      <colorScale>
        <cfvo type="min"/>
        <cfvo type="percentile" val="50"/>
        <cfvo type="max"/>
        <color rgb="FFFFFFFF"/>
        <color rgb="FFFFEB9C"/>
        <color rgb="FF1F4E78"/>
      </colorScale>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58"/>
  <sheetViews>
    <sheetView zoomScaleNormal="100" workbookViewId="0">
      <pane ySplit="3" topLeftCell="A4" activePane="bottomLeft" state="frozen"/>
      <selection pane="bottomLeft" activeCell="A1" sqref="A1"/>
    </sheetView>
  </sheetViews>
  <sheetFormatPr baseColWidth="8" defaultColWidth="8.7109375" defaultRowHeight="15"/>
  <cols>
    <col width="26" customWidth="1" style="16" min="1" max="1"/>
    <col width="18" customWidth="1" style="16" min="2" max="2"/>
    <col width="22" customWidth="1" style="16" min="3" max="4"/>
    <col width="24" customWidth="1" style="16" min="5" max="5"/>
    <col width="20" customWidth="1" style="16" min="6" max="6"/>
  </cols>
  <sheetData>
    <row r="1" ht="15" customHeight="1" s="16">
      <c r="A1" s="18" t="inlineStr">
        <is>
          <t>Country coverage summary — counts and AUM aggregated from preceding sheets</t>
        </is>
      </c>
    </row>
    <row r="3" ht="23.25" customHeight="1" s="16">
      <c r="A3" s="1" t="inlineStr">
        <is>
          <t>Country</t>
        </is>
      </c>
      <c r="B3" s="1" t="inlineStr">
        <is>
          <t># SWFs (&gt;$0 AUM)</t>
        </is>
      </c>
      <c r="C3" s="1" t="inlineStr">
        <is>
          <t># Pension funds listed</t>
        </is>
      </c>
      <c r="D3" s="1" t="inlineStr">
        <is>
          <t>Total SWF AUM (USD m)</t>
        </is>
      </c>
      <c r="E3" s="1" t="inlineStr">
        <is>
          <t>Total Pension AUM (USD m)</t>
        </is>
      </c>
      <c r="F3" s="1" t="inlineStr">
        <is>
          <t>Combined (USD m)</t>
        </is>
      </c>
    </row>
    <row r="4" ht="15" customHeight="1" s="16">
      <c r="A4" s="2" t="inlineStr">
        <is>
          <t>Algeria</t>
        </is>
      </c>
      <c r="B4" s="2">
        <f>COUNTIFS('Sovereign Wealth Funds'!A:A,A4,'Sovereign Wealth Funds'!E:E,"&gt;0")</f>
        <v/>
      </c>
      <c r="C4" s="2">
        <f>COUNTIF('Pension Funds'!A:A,A4)</f>
        <v/>
      </c>
      <c r="D4" s="4">
        <f>SUMIF('Sovereign Wealth Funds'!A:A,A4,'Sovereign Wealth Funds'!E:E)</f>
        <v/>
      </c>
      <c r="E4" s="4">
        <f>SUMIF('Pension Funds'!A:A,A4,'Pension Funds'!E:E)</f>
        <v/>
      </c>
      <c r="F4" s="4">
        <f>D4+E4</f>
        <v/>
      </c>
    </row>
    <row r="5" ht="15" customHeight="1" s="16">
      <c r="A5" s="2" t="inlineStr">
        <is>
          <t>Angola</t>
        </is>
      </c>
      <c r="B5" s="2">
        <f>COUNTIFS('Sovereign Wealth Funds'!A:A,A5,'Sovereign Wealth Funds'!E:E,"&gt;0")</f>
        <v/>
      </c>
      <c r="C5" s="2">
        <f>COUNTIF('Pension Funds'!A:A,A5)</f>
        <v/>
      </c>
      <c r="D5" s="4">
        <f>SUMIF('Sovereign Wealth Funds'!A:A,A5,'Sovereign Wealth Funds'!E:E)</f>
        <v/>
      </c>
      <c r="E5" s="4">
        <f>SUMIF('Pension Funds'!A:A,A5,'Pension Funds'!E:E)</f>
        <v/>
      </c>
      <c r="F5" s="4">
        <f>D5+E5</f>
        <v/>
      </c>
    </row>
    <row r="6" ht="15" customHeight="1" s="16">
      <c r="A6" s="2" t="inlineStr">
        <is>
          <t>Benin</t>
        </is>
      </c>
      <c r="B6" s="2">
        <f>COUNTIFS('Sovereign Wealth Funds'!A:A,A6,'Sovereign Wealth Funds'!E:E,"&gt;0")</f>
        <v/>
      </c>
      <c r="C6" s="2">
        <f>COUNTIF('Pension Funds'!A:A,A6)</f>
        <v/>
      </c>
      <c r="D6" s="4">
        <f>SUMIF('Sovereign Wealth Funds'!A:A,A6,'Sovereign Wealth Funds'!E:E)</f>
        <v/>
      </c>
      <c r="E6" s="4">
        <f>SUMIF('Pension Funds'!A:A,A6,'Pension Funds'!E:E)</f>
        <v/>
      </c>
      <c r="F6" s="4">
        <f>D6+E6</f>
        <v/>
      </c>
    </row>
    <row r="7" ht="15" customHeight="1" s="16">
      <c r="A7" s="2" t="inlineStr">
        <is>
          <t>Botswana</t>
        </is>
      </c>
      <c r="B7" s="2">
        <f>COUNTIFS('Sovereign Wealth Funds'!A:A,A7,'Sovereign Wealth Funds'!E:E,"&gt;0")</f>
        <v/>
      </c>
      <c r="C7" s="2">
        <f>COUNTIF('Pension Funds'!A:A,A7)</f>
        <v/>
      </c>
      <c r="D7" s="4">
        <f>SUMIF('Sovereign Wealth Funds'!A:A,A7,'Sovereign Wealth Funds'!E:E)</f>
        <v/>
      </c>
      <c r="E7" s="4">
        <f>SUMIF('Pension Funds'!A:A,A7,'Pension Funds'!E:E)</f>
        <v/>
      </c>
      <c r="F7" s="4">
        <f>D7+E7</f>
        <v/>
      </c>
    </row>
    <row r="8" ht="15" customHeight="1" s="16">
      <c r="A8" s="2" t="inlineStr">
        <is>
          <t>Burkina Faso</t>
        </is>
      </c>
      <c r="B8" s="2">
        <f>COUNTIFS('Sovereign Wealth Funds'!A:A,A8,'Sovereign Wealth Funds'!E:E,"&gt;0")</f>
        <v/>
      </c>
      <c r="C8" s="2">
        <f>COUNTIF('Pension Funds'!A:A,A8)</f>
        <v/>
      </c>
      <c r="D8" s="4">
        <f>SUMIF('Sovereign Wealth Funds'!A:A,A8,'Sovereign Wealth Funds'!E:E)</f>
        <v/>
      </c>
      <c r="E8" s="4">
        <f>SUMIF('Pension Funds'!A:A,A8,'Pension Funds'!E:E)</f>
        <v/>
      </c>
      <c r="F8" s="4">
        <f>D8+E8</f>
        <v/>
      </c>
    </row>
    <row r="9" ht="15" customHeight="1" s="16">
      <c r="A9" s="2" t="inlineStr">
        <is>
          <t>Burundi</t>
        </is>
      </c>
      <c r="B9" s="2">
        <f>COUNTIFS('Sovereign Wealth Funds'!A:A,A9,'Sovereign Wealth Funds'!E:E,"&gt;0")</f>
        <v/>
      </c>
      <c r="C9" s="2">
        <f>COUNTIF('Pension Funds'!A:A,A9)</f>
        <v/>
      </c>
      <c r="D9" s="4">
        <f>SUMIF('Sovereign Wealth Funds'!A:A,A9,'Sovereign Wealth Funds'!E:E)</f>
        <v/>
      </c>
      <c r="E9" s="4">
        <f>SUMIF('Pension Funds'!A:A,A9,'Pension Funds'!E:E)</f>
        <v/>
      </c>
      <c r="F9" s="4">
        <f>D9+E9</f>
        <v/>
      </c>
    </row>
    <row r="10" ht="15" customHeight="1" s="16">
      <c r="A10" s="2" t="inlineStr">
        <is>
          <t>Cabo Verde</t>
        </is>
      </c>
      <c r="B10" s="2">
        <f>COUNTIFS('Sovereign Wealth Funds'!A:A,A10,'Sovereign Wealth Funds'!E:E,"&gt;0")</f>
        <v/>
      </c>
      <c r="C10" s="2">
        <f>COUNTIF('Pension Funds'!A:A,A10)</f>
        <v/>
      </c>
      <c r="D10" s="4">
        <f>SUMIF('Sovereign Wealth Funds'!A:A,A10,'Sovereign Wealth Funds'!E:E)</f>
        <v/>
      </c>
      <c r="E10" s="4">
        <f>SUMIF('Pension Funds'!A:A,A10,'Pension Funds'!E:E)</f>
        <v/>
      </c>
      <c r="F10" s="4">
        <f>D10+E10</f>
        <v/>
      </c>
    </row>
    <row r="11" ht="15" customHeight="1" s="16">
      <c r="A11" s="2" t="inlineStr">
        <is>
          <t>Cameroon</t>
        </is>
      </c>
      <c r="B11" s="2">
        <f>COUNTIFS('Sovereign Wealth Funds'!A:A,A11,'Sovereign Wealth Funds'!E:E,"&gt;0")</f>
        <v/>
      </c>
      <c r="C11" s="2">
        <f>COUNTIF('Pension Funds'!A:A,A11)</f>
        <v/>
      </c>
      <c r="D11" s="4">
        <f>SUMIF('Sovereign Wealth Funds'!A:A,A11,'Sovereign Wealth Funds'!E:E)</f>
        <v/>
      </c>
      <c r="E11" s="4">
        <f>SUMIF('Pension Funds'!A:A,A11,'Pension Funds'!E:E)</f>
        <v/>
      </c>
      <c r="F11" s="4">
        <f>D11+E11</f>
        <v/>
      </c>
    </row>
    <row r="12" ht="15" customHeight="1" s="16">
      <c r="A12" s="2" t="inlineStr">
        <is>
          <t>Central African Republic</t>
        </is>
      </c>
      <c r="B12" s="2">
        <f>COUNTIFS('Sovereign Wealth Funds'!A:A,A12,'Sovereign Wealth Funds'!E:E,"&gt;0")</f>
        <v/>
      </c>
      <c r="C12" s="2">
        <f>COUNTIF('Pension Funds'!A:A,A12)</f>
        <v/>
      </c>
      <c r="D12" s="4">
        <f>SUMIF('Sovereign Wealth Funds'!A:A,A12,'Sovereign Wealth Funds'!E:E)</f>
        <v/>
      </c>
      <c r="E12" s="4">
        <f>SUMIF('Pension Funds'!A:A,A12,'Pension Funds'!E:E)</f>
        <v/>
      </c>
      <c r="F12" s="4">
        <f>D12+E12</f>
        <v/>
      </c>
    </row>
    <row r="13" ht="15" customHeight="1" s="16">
      <c r="A13" s="2" t="inlineStr">
        <is>
          <t>Chad</t>
        </is>
      </c>
      <c r="B13" s="2">
        <f>COUNTIFS('Sovereign Wealth Funds'!A:A,A13,'Sovereign Wealth Funds'!E:E,"&gt;0")</f>
        <v/>
      </c>
      <c r="C13" s="2">
        <f>COUNTIF('Pension Funds'!A:A,A13)</f>
        <v/>
      </c>
      <c r="D13" s="4">
        <f>SUMIF('Sovereign Wealth Funds'!A:A,A13,'Sovereign Wealth Funds'!E:E)</f>
        <v/>
      </c>
      <c r="E13" s="4">
        <f>SUMIF('Pension Funds'!A:A,A13,'Pension Funds'!E:E)</f>
        <v/>
      </c>
      <c r="F13" s="4">
        <f>D13+E13</f>
        <v/>
      </c>
    </row>
    <row r="14" ht="15" customHeight="1" s="16">
      <c r="A14" s="2" t="inlineStr">
        <is>
          <t>Comoros</t>
        </is>
      </c>
      <c r="B14" s="2">
        <f>COUNTIFS('Sovereign Wealth Funds'!A:A,A14,'Sovereign Wealth Funds'!E:E,"&gt;0")</f>
        <v/>
      </c>
      <c r="C14" s="2">
        <f>COUNTIF('Pension Funds'!A:A,A14)</f>
        <v/>
      </c>
      <c r="D14" s="4">
        <f>SUMIF('Sovereign Wealth Funds'!A:A,A14,'Sovereign Wealth Funds'!E:E)</f>
        <v/>
      </c>
      <c r="E14" s="4">
        <f>SUMIF('Pension Funds'!A:A,A14,'Pension Funds'!E:E)</f>
        <v/>
      </c>
      <c r="F14" s="4">
        <f>D14+E14</f>
        <v/>
      </c>
    </row>
    <row r="15" ht="15" customHeight="1" s="16">
      <c r="A15" s="2" t="inlineStr">
        <is>
          <t>Congo (Brazzaville)</t>
        </is>
      </c>
      <c r="B15" s="2">
        <f>COUNTIFS('Sovereign Wealth Funds'!A:A,A15,'Sovereign Wealth Funds'!E:E,"&gt;0")</f>
        <v/>
      </c>
      <c r="C15" s="2">
        <f>COUNTIF('Pension Funds'!A:A,A15)</f>
        <v/>
      </c>
      <c r="D15" s="4">
        <f>SUMIF('Sovereign Wealth Funds'!A:A,A15,'Sovereign Wealth Funds'!E:E)</f>
        <v/>
      </c>
      <c r="E15" s="4">
        <f>SUMIF('Pension Funds'!A:A,A15,'Pension Funds'!E:E)</f>
        <v/>
      </c>
      <c r="F15" s="4">
        <f>D15+E15</f>
        <v/>
      </c>
    </row>
    <row r="16" ht="15" customHeight="1" s="16">
      <c r="A16" s="2" t="inlineStr">
        <is>
          <t>Côte d'Ivoire</t>
        </is>
      </c>
      <c r="B16" s="2">
        <f>COUNTIFS('Sovereign Wealth Funds'!A:A,A16,'Sovereign Wealth Funds'!E:E,"&gt;0")</f>
        <v/>
      </c>
      <c r="C16" s="2">
        <f>COUNTIF('Pension Funds'!A:A,A16)</f>
        <v/>
      </c>
      <c r="D16" s="4">
        <f>SUMIF('Sovereign Wealth Funds'!A:A,A16,'Sovereign Wealth Funds'!E:E)</f>
        <v/>
      </c>
      <c r="E16" s="4">
        <f>SUMIF('Pension Funds'!A:A,A16,'Pension Funds'!E:E)</f>
        <v/>
      </c>
      <c r="F16" s="4">
        <f>D16+E16</f>
        <v/>
      </c>
    </row>
    <row r="17" ht="15" customHeight="1" s="16">
      <c r="A17" s="2" t="inlineStr">
        <is>
          <t>DR Congo</t>
        </is>
      </c>
      <c r="B17" s="2">
        <f>COUNTIFS('Sovereign Wealth Funds'!A:A,A17,'Sovereign Wealth Funds'!E:E,"&gt;0")</f>
        <v/>
      </c>
      <c r="C17" s="2">
        <f>COUNTIF('Pension Funds'!A:A,A17)</f>
        <v/>
      </c>
      <c r="D17" s="4">
        <f>SUMIF('Sovereign Wealth Funds'!A:A,A17,'Sovereign Wealth Funds'!E:E)</f>
        <v/>
      </c>
      <c r="E17" s="4">
        <f>SUMIF('Pension Funds'!A:A,A17,'Pension Funds'!E:E)</f>
        <v/>
      </c>
      <c r="F17" s="4">
        <f>D17+E17</f>
        <v/>
      </c>
    </row>
    <row r="18" ht="15" customHeight="1" s="16">
      <c r="A18" s="2" t="inlineStr">
        <is>
          <t>Djibouti</t>
        </is>
      </c>
      <c r="B18" s="2">
        <f>COUNTIFS('Sovereign Wealth Funds'!A:A,A18,'Sovereign Wealth Funds'!E:E,"&gt;0")</f>
        <v/>
      </c>
      <c r="C18" s="2">
        <f>COUNTIF('Pension Funds'!A:A,A18)</f>
        <v/>
      </c>
      <c r="D18" s="4">
        <f>SUMIF('Sovereign Wealth Funds'!A:A,A18,'Sovereign Wealth Funds'!E:E)</f>
        <v/>
      </c>
      <c r="E18" s="4">
        <f>SUMIF('Pension Funds'!A:A,A18,'Pension Funds'!E:E)</f>
        <v/>
      </c>
      <c r="F18" s="4">
        <f>D18+E18</f>
        <v/>
      </c>
    </row>
    <row r="19" ht="15" customHeight="1" s="16">
      <c r="A19" s="2" t="inlineStr">
        <is>
          <t>Egypt</t>
        </is>
      </c>
      <c r="B19" s="2">
        <f>COUNTIFS('Sovereign Wealth Funds'!A:A,A19,'Sovereign Wealth Funds'!E:E,"&gt;0")</f>
        <v/>
      </c>
      <c r="C19" s="2">
        <f>COUNTIF('Pension Funds'!A:A,A19)</f>
        <v/>
      </c>
      <c r="D19" s="4">
        <f>SUMIF('Sovereign Wealth Funds'!A:A,A19,'Sovereign Wealth Funds'!E:E)</f>
        <v/>
      </c>
      <c r="E19" s="4">
        <f>SUMIF('Pension Funds'!A:A,A19,'Pension Funds'!E:E)</f>
        <v/>
      </c>
      <c r="F19" s="4">
        <f>D19+E19</f>
        <v/>
      </c>
    </row>
    <row r="20" ht="15" customHeight="1" s="16">
      <c r="A20" s="2" t="inlineStr">
        <is>
          <t>Equatorial Guinea</t>
        </is>
      </c>
      <c r="B20" s="2">
        <f>COUNTIFS('Sovereign Wealth Funds'!A:A,A20,'Sovereign Wealth Funds'!E:E,"&gt;0")</f>
        <v/>
      </c>
      <c r="C20" s="2">
        <f>COUNTIF('Pension Funds'!A:A,A20)</f>
        <v/>
      </c>
      <c r="D20" s="4">
        <f>SUMIF('Sovereign Wealth Funds'!A:A,A20,'Sovereign Wealth Funds'!E:E)</f>
        <v/>
      </c>
      <c r="E20" s="4">
        <f>SUMIF('Pension Funds'!A:A,A20,'Pension Funds'!E:E)</f>
        <v/>
      </c>
      <c r="F20" s="4">
        <f>D20+E20</f>
        <v/>
      </c>
    </row>
    <row r="21" ht="15" customHeight="1" s="16">
      <c r="A21" s="2" t="inlineStr">
        <is>
          <t>Eritrea</t>
        </is>
      </c>
      <c r="B21" s="2">
        <f>COUNTIFS('Sovereign Wealth Funds'!A:A,A21,'Sovereign Wealth Funds'!E:E,"&gt;0")</f>
        <v/>
      </c>
      <c r="C21" s="2">
        <f>COUNTIF('Pension Funds'!A:A,A21)</f>
        <v/>
      </c>
      <c r="D21" s="4">
        <f>SUMIF('Sovereign Wealth Funds'!A:A,A21,'Sovereign Wealth Funds'!E:E)</f>
        <v/>
      </c>
      <c r="E21" s="4">
        <f>SUMIF('Pension Funds'!A:A,A21,'Pension Funds'!E:E)</f>
        <v/>
      </c>
      <c r="F21" s="4">
        <f>D21+E21</f>
        <v/>
      </c>
    </row>
    <row r="22" ht="15" customHeight="1" s="16">
      <c r="A22" s="2" t="inlineStr">
        <is>
          <t>Eswatini</t>
        </is>
      </c>
      <c r="B22" s="2">
        <f>COUNTIFS('Sovereign Wealth Funds'!A:A,A22,'Sovereign Wealth Funds'!E:E,"&gt;0")</f>
        <v/>
      </c>
      <c r="C22" s="2">
        <f>COUNTIF('Pension Funds'!A:A,A22)</f>
        <v/>
      </c>
      <c r="D22" s="4">
        <f>SUMIF('Sovereign Wealth Funds'!A:A,A22,'Sovereign Wealth Funds'!E:E)</f>
        <v/>
      </c>
      <c r="E22" s="4">
        <f>SUMIF('Pension Funds'!A:A,A22,'Pension Funds'!E:E)</f>
        <v/>
      </c>
      <c r="F22" s="4">
        <f>D22+E22</f>
        <v/>
      </c>
    </row>
    <row r="23" ht="15" customHeight="1" s="16">
      <c r="A23" s="2" t="inlineStr">
        <is>
          <t>Ethiopia</t>
        </is>
      </c>
      <c r="B23" s="2">
        <f>COUNTIFS('Sovereign Wealth Funds'!A:A,A23,'Sovereign Wealth Funds'!E:E,"&gt;0")</f>
        <v/>
      </c>
      <c r="C23" s="2">
        <f>COUNTIF('Pension Funds'!A:A,A23)</f>
        <v/>
      </c>
      <c r="D23" s="4">
        <f>SUMIF('Sovereign Wealth Funds'!A:A,A23,'Sovereign Wealth Funds'!E:E)</f>
        <v/>
      </c>
      <c r="E23" s="4">
        <f>SUMIF('Pension Funds'!A:A,A23,'Pension Funds'!E:E)</f>
        <v/>
      </c>
      <c r="F23" s="4">
        <f>D23+E23</f>
        <v/>
      </c>
    </row>
    <row r="24" ht="15" customHeight="1" s="16">
      <c r="A24" s="2" t="inlineStr">
        <is>
          <t>Gabon</t>
        </is>
      </c>
      <c r="B24" s="2">
        <f>COUNTIFS('Sovereign Wealth Funds'!A:A,A24,'Sovereign Wealth Funds'!E:E,"&gt;0")</f>
        <v/>
      </c>
      <c r="C24" s="2">
        <f>COUNTIF('Pension Funds'!A:A,A24)</f>
        <v/>
      </c>
      <c r="D24" s="4">
        <f>SUMIF('Sovereign Wealth Funds'!A:A,A24,'Sovereign Wealth Funds'!E:E)</f>
        <v/>
      </c>
      <c r="E24" s="4">
        <f>SUMIF('Pension Funds'!A:A,A24,'Pension Funds'!E:E)</f>
        <v/>
      </c>
      <c r="F24" s="4">
        <f>D24+E24</f>
        <v/>
      </c>
    </row>
    <row r="25" ht="15" customHeight="1" s="16">
      <c r="A25" s="2" t="inlineStr">
        <is>
          <t>The Gambia</t>
        </is>
      </c>
      <c r="B25" s="2">
        <f>COUNTIFS('Sovereign Wealth Funds'!A:A,A25,'Sovereign Wealth Funds'!E:E,"&gt;0")</f>
        <v/>
      </c>
      <c r="C25" s="2">
        <f>COUNTIF('Pension Funds'!A:A,A25)</f>
        <v/>
      </c>
      <c r="D25" s="4">
        <f>SUMIF('Sovereign Wealth Funds'!A:A,A25,'Sovereign Wealth Funds'!E:E)</f>
        <v/>
      </c>
      <c r="E25" s="4">
        <f>SUMIF('Pension Funds'!A:A,A25,'Pension Funds'!E:E)</f>
        <v/>
      </c>
      <c r="F25" s="4">
        <f>D25+E25</f>
        <v/>
      </c>
    </row>
    <row r="26" ht="15" customHeight="1" s="16">
      <c r="A26" s="2" t="inlineStr">
        <is>
          <t>Ghana</t>
        </is>
      </c>
      <c r="B26" s="2">
        <f>COUNTIFS('Sovereign Wealth Funds'!A:A,A26,'Sovereign Wealth Funds'!E:E,"&gt;0")</f>
        <v/>
      </c>
      <c r="C26" s="2">
        <f>COUNTIF('Pension Funds'!A:A,A26)</f>
        <v/>
      </c>
      <c r="D26" s="4">
        <f>SUMIF('Sovereign Wealth Funds'!A:A,A26,'Sovereign Wealth Funds'!E:E)</f>
        <v/>
      </c>
      <c r="E26" s="4">
        <f>SUMIF('Pension Funds'!A:A,A26,'Pension Funds'!E:E)</f>
        <v/>
      </c>
      <c r="F26" s="4">
        <f>D26+E26</f>
        <v/>
      </c>
    </row>
    <row r="27" ht="15" customHeight="1" s="16">
      <c r="A27" s="2" t="inlineStr">
        <is>
          <t>Guinea</t>
        </is>
      </c>
      <c r="B27" s="2">
        <f>COUNTIFS('Sovereign Wealth Funds'!A:A,A27,'Sovereign Wealth Funds'!E:E,"&gt;0")</f>
        <v/>
      </c>
      <c r="C27" s="2">
        <f>COUNTIF('Pension Funds'!A:A,A27)</f>
        <v/>
      </c>
      <c r="D27" s="4">
        <f>SUMIF('Sovereign Wealth Funds'!A:A,A27,'Sovereign Wealth Funds'!E:E)</f>
        <v/>
      </c>
      <c r="E27" s="4">
        <f>SUMIF('Pension Funds'!A:A,A27,'Pension Funds'!E:E)</f>
        <v/>
      </c>
      <c r="F27" s="4">
        <f>D27+E27</f>
        <v/>
      </c>
    </row>
    <row r="28" ht="15" customHeight="1" s="16">
      <c r="A28" s="2" t="inlineStr">
        <is>
          <t>Guinea-Bissau</t>
        </is>
      </c>
      <c r="B28" s="2">
        <f>COUNTIFS('Sovereign Wealth Funds'!A:A,A28,'Sovereign Wealth Funds'!E:E,"&gt;0")</f>
        <v/>
      </c>
      <c r="C28" s="2">
        <f>COUNTIF('Pension Funds'!A:A,A28)</f>
        <v/>
      </c>
      <c r="D28" s="4">
        <f>SUMIF('Sovereign Wealth Funds'!A:A,A28,'Sovereign Wealth Funds'!E:E)</f>
        <v/>
      </c>
      <c r="E28" s="4">
        <f>SUMIF('Pension Funds'!A:A,A28,'Pension Funds'!E:E)</f>
        <v/>
      </c>
      <c r="F28" s="4">
        <f>D28+E28</f>
        <v/>
      </c>
    </row>
    <row r="29" ht="15" customHeight="1" s="16">
      <c r="A29" s="2" t="inlineStr">
        <is>
          <t>Kenya</t>
        </is>
      </c>
      <c r="B29" s="2">
        <f>COUNTIFS('Sovereign Wealth Funds'!A:A,A29,'Sovereign Wealth Funds'!E:E,"&gt;0")</f>
        <v/>
      </c>
      <c r="C29" s="2">
        <f>COUNTIF('Pension Funds'!A:A,A29)</f>
        <v/>
      </c>
      <c r="D29" s="4">
        <f>SUMIF('Sovereign Wealth Funds'!A:A,A29,'Sovereign Wealth Funds'!E:E)</f>
        <v/>
      </c>
      <c r="E29" s="4">
        <f>SUMIF('Pension Funds'!A:A,A29,'Pension Funds'!E:E)</f>
        <v/>
      </c>
      <c r="F29" s="4">
        <f>D29+E29</f>
        <v/>
      </c>
    </row>
    <row r="30" ht="15" customHeight="1" s="16">
      <c r="A30" s="2" t="inlineStr">
        <is>
          <t>Lesotho</t>
        </is>
      </c>
      <c r="B30" s="2">
        <f>COUNTIFS('Sovereign Wealth Funds'!A:A,A30,'Sovereign Wealth Funds'!E:E,"&gt;0")</f>
        <v/>
      </c>
      <c r="C30" s="2">
        <f>COUNTIF('Pension Funds'!A:A,A30)</f>
        <v/>
      </c>
      <c r="D30" s="4">
        <f>SUMIF('Sovereign Wealth Funds'!A:A,A30,'Sovereign Wealth Funds'!E:E)</f>
        <v/>
      </c>
      <c r="E30" s="4">
        <f>SUMIF('Pension Funds'!A:A,A30,'Pension Funds'!E:E)</f>
        <v/>
      </c>
      <c r="F30" s="4">
        <f>D30+E30</f>
        <v/>
      </c>
    </row>
    <row r="31" ht="15" customHeight="1" s="16">
      <c r="A31" s="2" t="inlineStr">
        <is>
          <t>Liberia</t>
        </is>
      </c>
      <c r="B31" s="2">
        <f>COUNTIFS('Sovereign Wealth Funds'!A:A,A31,'Sovereign Wealth Funds'!E:E,"&gt;0")</f>
        <v/>
      </c>
      <c r="C31" s="2">
        <f>COUNTIF('Pension Funds'!A:A,A31)</f>
        <v/>
      </c>
      <c r="D31" s="4">
        <f>SUMIF('Sovereign Wealth Funds'!A:A,A31,'Sovereign Wealth Funds'!E:E)</f>
        <v/>
      </c>
      <c r="E31" s="4">
        <f>SUMIF('Pension Funds'!A:A,A31,'Pension Funds'!E:E)</f>
        <v/>
      </c>
      <c r="F31" s="4">
        <f>D31+E31</f>
        <v/>
      </c>
    </row>
    <row r="32" ht="15" customHeight="1" s="16">
      <c r="A32" s="2" t="inlineStr">
        <is>
          <t>Libya</t>
        </is>
      </c>
      <c r="B32" s="2">
        <f>COUNTIFS('Sovereign Wealth Funds'!A:A,A32,'Sovereign Wealth Funds'!E:E,"&gt;0")</f>
        <v/>
      </c>
      <c r="C32" s="2">
        <f>COUNTIF('Pension Funds'!A:A,A32)</f>
        <v/>
      </c>
      <c r="D32" s="4">
        <f>SUMIF('Sovereign Wealth Funds'!A:A,A32,'Sovereign Wealth Funds'!E:E)</f>
        <v/>
      </c>
      <c r="E32" s="4">
        <f>SUMIF('Pension Funds'!A:A,A32,'Pension Funds'!E:E)</f>
        <v/>
      </c>
      <c r="F32" s="4">
        <f>D32+E32</f>
        <v/>
      </c>
    </row>
    <row r="33" ht="15" customHeight="1" s="16">
      <c r="A33" s="2" t="inlineStr">
        <is>
          <t>Madagascar</t>
        </is>
      </c>
      <c r="B33" s="2">
        <f>COUNTIFS('Sovereign Wealth Funds'!A:A,A33,'Sovereign Wealth Funds'!E:E,"&gt;0")</f>
        <v/>
      </c>
      <c r="C33" s="2">
        <f>COUNTIF('Pension Funds'!A:A,A33)</f>
        <v/>
      </c>
      <c r="D33" s="4">
        <f>SUMIF('Sovereign Wealth Funds'!A:A,A33,'Sovereign Wealth Funds'!E:E)</f>
        <v/>
      </c>
      <c r="E33" s="4">
        <f>SUMIF('Pension Funds'!A:A,A33,'Pension Funds'!E:E)</f>
        <v/>
      </c>
      <c r="F33" s="4">
        <f>D33+E33</f>
        <v/>
      </c>
    </row>
    <row r="34" ht="15" customHeight="1" s="16">
      <c r="A34" s="2" t="inlineStr">
        <is>
          <t>Malawi</t>
        </is>
      </c>
      <c r="B34" s="2">
        <f>COUNTIFS('Sovereign Wealth Funds'!A:A,A34,'Sovereign Wealth Funds'!E:E,"&gt;0")</f>
        <v/>
      </c>
      <c r="C34" s="2">
        <f>COUNTIF('Pension Funds'!A:A,A34)</f>
        <v/>
      </c>
      <c r="D34" s="4">
        <f>SUMIF('Sovereign Wealth Funds'!A:A,A34,'Sovereign Wealth Funds'!E:E)</f>
        <v/>
      </c>
      <c r="E34" s="4">
        <f>SUMIF('Pension Funds'!A:A,A34,'Pension Funds'!E:E)</f>
        <v/>
      </c>
      <c r="F34" s="4">
        <f>D34+E34</f>
        <v/>
      </c>
    </row>
    <row r="35" ht="15" customHeight="1" s="16">
      <c r="A35" s="2" t="inlineStr">
        <is>
          <t>Mali</t>
        </is>
      </c>
      <c r="B35" s="2">
        <f>COUNTIFS('Sovereign Wealth Funds'!A:A,A35,'Sovereign Wealth Funds'!E:E,"&gt;0")</f>
        <v/>
      </c>
      <c r="C35" s="2">
        <f>COUNTIF('Pension Funds'!A:A,A35)</f>
        <v/>
      </c>
      <c r="D35" s="4">
        <f>SUMIF('Sovereign Wealth Funds'!A:A,A35,'Sovereign Wealth Funds'!E:E)</f>
        <v/>
      </c>
      <c r="E35" s="4">
        <f>SUMIF('Pension Funds'!A:A,A35,'Pension Funds'!E:E)</f>
        <v/>
      </c>
      <c r="F35" s="4">
        <f>D35+E35</f>
        <v/>
      </c>
    </row>
    <row r="36" ht="15" customHeight="1" s="16">
      <c r="A36" s="2" t="inlineStr">
        <is>
          <t>Mauritania</t>
        </is>
      </c>
      <c r="B36" s="2">
        <f>COUNTIFS('Sovereign Wealth Funds'!A:A,A36,'Sovereign Wealth Funds'!E:E,"&gt;0")</f>
        <v/>
      </c>
      <c r="C36" s="2">
        <f>COUNTIF('Pension Funds'!A:A,A36)</f>
        <v/>
      </c>
      <c r="D36" s="4">
        <f>SUMIF('Sovereign Wealth Funds'!A:A,A36,'Sovereign Wealth Funds'!E:E)</f>
        <v/>
      </c>
      <c r="E36" s="4">
        <f>SUMIF('Pension Funds'!A:A,A36,'Pension Funds'!E:E)</f>
        <v/>
      </c>
      <c r="F36" s="4">
        <f>D36+E36</f>
        <v/>
      </c>
    </row>
    <row r="37" ht="15" customHeight="1" s="16">
      <c r="A37" s="2" t="inlineStr">
        <is>
          <t>Mauritius</t>
        </is>
      </c>
      <c r="B37" s="2">
        <f>COUNTIFS('Sovereign Wealth Funds'!A:A,A37,'Sovereign Wealth Funds'!E:E,"&gt;0")</f>
        <v/>
      </c>
      <c r="C37" s="2">
        <f>COUNTIF('Pension Funds'!A:A,A37)</f>
        <v/>
      </c>
      <c r="D37" s="4">
        <f>SUMIF('Sovereign Wealth Funds'!A:A,A37,'Sovereign Wealth Funds'!E:E)</f>
        <v/>
      </c>
      <c r="E37" s="4">
        <f>SUMIF('Pension Funds'!A:A,A37,'Pension Funds'!E:E)</f>
        <v/>
      </c>
      <c r="F37" s="4">
        <f>D37+E37</f>
        <v/>
      </c>
    </row>
    <row r="38" ht="15" customHeight="1" s="16">
      <c r="A38" s="2" t="inlineStr">
        <is>
          <t>Morocco</t>
        </is>
      </c>
      <c r="B38" s="2">
        <f>COUNTIFS('Sovereign Wealth Funds'!A:A,A38,'Sovereign Wealth Funds'!E:E,"&gt;0")</f>
        <v/>
      </c>
      <c r="C38" s="2">
        <f>COUNTIF('Pension Funds'!A:A,A38)</f>
        <v/>
      </c>
      <c r="D38" s="4">
        <f>SUMIF('Sovereign Wealth Funds'!A:A,A38,'Sovereign Wealth Funds'!E:E)</f>
        <v/>
      </c>
      <c r="E38" s="4">
        <f>SUMIF('Pension Funds'!A:A,A38,'Pension Funds'!E:E)</f>
        <v/>
      </c>
      <c r="F38" s="4">
        <f>D38+E38</f>
        <v/>
      </c>
    </row>
    <row r="39" ht="15" customHeight="1" s="16">
      <c r="A39" s="2" t="inlineStr">
        <is>
          <t>Mozambique</t>
        </is>
      </c>
      <c r="B39" s="2">
        <f>COUNTIFS('Sovereign Wealth Funds'!A:A,A39,'Sovereign Wealth Funds'!E:E,"&gt;0")</f>
        <v/>
      </c>
      <c r="C39" s="2">
        <f>COUNTIF('Pension Funds'!A:A,A39)</f>
        <v/>
      </c>
      <c r="D39" s="4">
        <f>SUMIF('Sovereign Wealth Funds'!A:A,A39,'Sovereign Wealth Funds'!E:E)</f>
        <v/>
      </c>
      <c r="E39" s="4">
        <f>SUMIF('Pension Funds'!A:A,A39,'Pension Funds'!E:E)</f>
        <v/>
      </c>
      <c r="F39" s="4">
        <f>D39+E39</f>
        <v/>
      </c>
    </row>
    <row r="40" ht="15" customHeight="1" s="16">
      <c r="A40" s="2" t="inlineStr">
        <is>
          <t>Namibia</t>
        </is>
      </c>
      <c r="B40" s="2">
        <f>COUNTIFS('Sovereign Wealth Funds'!A:A,A40,'Sovereign Wealth Funds'!E:E,"&gt;0")</f>
        <v/>
      </c>
      <c r="C40" s="2">
        <f>COUNTIF('Pension Funds'!A:A,A40)</f>
        <v/>
      </c>
      <c r="D40" s="4">
        <f>SUMIF('Sovereign Wealth Funds'!A:A,A40,'Sovereign Wealth Funds'!E:E)</f>
        <v/>
      </c>
      <c r="E40" s="4">
        <f>SUMIF('Pension Funds'!A:A,A40,'Pension Funds'!E:E)</f>
        <v/>
      </c>
      <c r="F40" s="4">
        <f>D40+E40</f>
        <v/>
      </c>
    </row>
    <row r="41" ht="15" customHeight="1" s="16">
      <c r="A41" s="2" t="inlineStr">
        <is>
          <t>Niger</t>
        </is>
      </c>
      <c r="B41" s="2">
        <f>COUNTIFS('Sovereign Wealth Funds'!A:A,A41,'Sovereign Wealth Funds'!E:E,"&gt;0")</f>
        <v/>
      </c>
      <c r="C41" s="2">
        <f>COUNTIF('Pension Funds'!A:A,A41)</f>
        <v/>
      </c>
      <c r="D41" s="4">
        <f>SUMIF('Sovereign Wealth Funds'!A:A,A41,'Sovereign Wealth Funds'!E:E)</f>
        <v/>
      </c>
      <c r="E41" s="4">
        <f>SUMIF('Pension Funds'!A:A,A41,'Pension Funds'!E:E)</f>
        <v/>
      </c>
      <c r="F41" s="4">
        <f>D41+E41</f>
        <v/>
      </c>
    </row>
    <row r="42" ht="15" customHeight="1" s="16">
      <c r="A42" s="2" t="inlineStr">
        <is>
          <t>Nigeria</t>
        </is>
      </c>
      <c r="B42" s="2">
        <f>COUNTIFS('Sovereign Wealth Funds'!A:A,A42,'Sovereign Wealth Funds'!E:E,"&gt;0")</f>
        <v/>
      </c>
      <c r="C42" s="2">
        <f>COUNTIF('Pension Funds'!A:A,A42)</f>
        <v/>
      </c>
      <c r="D42" s="4">
        <f>SUMIF('Sovereign Wealth Funds'!A:A,A42,'Sovereign Wealth Funds'!E:E)</f>
        <v/>
      </c>
      <c r="E42" s="4">
        <f>SUMIF('Pension Funds'!A:A,A42,'Pension Funds'!E:E)</f>
        <v/>
      </c>
      <c r="F42" s="4">
        <f>D42+E42</f>
        <v/>
      </c>
    </row>
    <row r="43" ht="15" customHeight="1" s="16">
      <c r="A43" s="2" t="inlineStr">
        <is>
          <t>Rwanda</t>
        </is>
      </c>
      <c r="B43" s="2">
        <f>COUNTIFS('Sovereign Wealth Funds'!A:A,A43,'Sovereign Wealth Funds'!E:E,"&gt;0")</f>
        <v/>
      </c>
      <c r="C43" s="2">
        <f>COUNTIF('Pension Funds'!A:A,A43)</f>
        <v/>
      </c>
      <c r="D43" s="4">
        <f>SUMIF('Sovereign Wealth Funds'!A:A,A43,'Sovereign Wealth Funds'!E:E)</f>
        <v/>
      </c>
      <c r="E43" s="4">
        <f>SUMIF('Pension Funds'!A:A,A43,'Pension Funds'!E:E)</f>
        <v/>
      </c>
      <c r="F43" s="4">
        <f>D43+E43</f>
        <v/>
      </c>
    </row>
    <row r="44" ht="15" customHeight="1" s="16">
      <c r="A44" s="2" t="inlineStr">
        <is>
          <t>São Tomé and Príncipe</t>
        </is>
      </c>
      <c r="B44" s="2">
        <f>COUNTIFS('Sovereign Wealth Funds'!A:A,A44,'Sovereign Wealth Funds'!E:E,"&gt;0")</f>
        <v/>
      </c>
      <c r="C44" s="2">
        <f>COUNTIF('Pension Funds'!A:A,A44)</f>
        <v/>
      </c>
      <c r="D44" s="4">
        <f>SUMIF('Sovereign Wealth Funds'!A:A,A44,'Sovereign Wealth Funds'!E:E)</f>
        <v/>
      </c>
      <c r="E44" s="4">
        <f>SUMIF('Pension Funds'!A:A,A44,'Pension Funds'!E:E)</f>
        <v/>
      </c>
      <c r="F44" s="4">
        <f>D44+E44</f>
        <v/>
      </c>
    </row>
    <row r="45" ht="15" customHeight="1" s="16">
      <c r="A45" s="2" t="inlineStr">
        <is>
          <t>Senegal</t>
        </is>
      </c>
      <c r="B45" s="2">
        <f>COUNTIFS('Sovereign Wealth Funds'!A:A,A45,'Sovereign Wealth Funds'!E:E,"&gt;0")</f>
        <v/>
      </c>
      <c r="C45" s="2">
        <f>COUNTIF('Pension Funds'!A:A,A45)</f>
        <v/>
      </c>
      <c r="D45" s="4">
        <f>SUMIF('Sovereign Wealth Funds'!A:A,A45,'Sovereign Wealth Funds'!E:E)</f>
        <v/>
      </c>
      <c r="E45" s="4">
        <f>SUMIF('Pension Funds'!A:A,A45,'Pension Funds'!E:E)</f>
        <v/>
      </c>
      <c r="F45" s="4">
        <f>D45+E45</f>
        <v/>
      </c>
    </row>
    <row r="46" ht="15" customHeight="1" s="16">
      <c r="A46" s="2" t="inlineStr">
        <is>
          <t>Seychelles</t>
        </is>
      </c>
      <c r="B46" s="2">
        <f>COUNTIFS('Sovereign Wealth Funds'!A:A,A46,'Sovereign Wealth Funds'!E:E,"&gt;0")</f>
        <v/>
      </c>
      <c r="C46" s="2">
        <f>COUNTIF('Pension Funds'!A:A,A46)</f>
        <v/>
      </c>
      <c r="D46" s="4">
        <f>SUMIF('Sovereign Wealth Funds'!A:A,A46,'Sovereign Wealth Funds'!E:E)</f>
        <v/>
      </c>
      <c r="E46" s="4">
        <f>SUMIF('Pension Funds'!A:A,A46,'Pension Funds'!E:E)</f>
        <v/>
      </c>
      <c r="F46" s="4">
        <f>D46+E46</f>
        <v/>
      </c>
    </row>
    <row r="47" ht="15" customHeight="1" s="16">
      <c r="A47" s="2" t="inlineStr">
        <is>
          <t>Sierra Leone</t>
        </is>
      </c>
      <c r="B47" s="2">
        <f>COUNTIFS('Sovereign Wealth Funds'!A:A,A47,'Sovereign Wealth Funds'!E:E,"&gt;0")</f>
        <v/>
      </c>
      <c r="C47" s="2">
        <f>COUNTIF('Pension Funds'!A:A,A47)</f>
        <v/>
      </c>
      <c r="D47" s="4">
        <f>SUMIF('Sovereign Wealth Funds'!A:A,A47,'Sovereign Wealth Funds'!E:E)</f>
        <v/>
      </c>
      <c r="E47" s="4">
        <f>SUMIF('Pension Funds'!A:A,A47,'Pension Funds'!E:E)</f>
        <v/>
      </c>
      <c r="F47" s="4">
        <f>D47+E47</f>
        <v/>
      </c>
    </row>
    <row r="48" ht="15" customHeight="1" s="16">
      <c r="A48" s="2" t="inlineStr">
        <is>
          <t>Somalia</t>
        </is>
      </c>
      <c r="B48" s="2">
        <f>COUNTIFS('Sovereign Wealth Funds'!A:A,A48,'Sovereign Wealth Funds'!E:E,"&gt;0")</f>
        <v/>
      </c>
      <c r="C48" s="2">
        <f>COUNTIF('Pension Funds'!A:A,A48)</f>
        <v/>
      </c>
      <c r="D48" s="4">
        <f>SUMIF('Sovereign Wealth Funds'!A:A,A48,'Sovereign Wealth Funds'!E:E)</f>
        <v/>
      </c>
      <c r="E48" s="4">
        <f>SUMIF('Pension Funds'!A:A,A48,'Pension Funds'!E:E)</f>
        <v/>
      </c>
      <c r="F48" s="4">
        <f>D48+E48</f>
        <v/>
      </c>
    </row>
    <row r="49" ht="15" customHeight="1" s="16">
      <c r="A49" s="2" t="inlineStr">
        <is>
          <t>South Africa</t>
        </is>
      </c>
      <c r="B49" s="2">
        <f>COUNTIFS('Sovereign Wealth Funds'!A:A,A49,'Sovereign Wealth Funds'!E:E,"&gt;0")</f>
        <v/>
      </c>
      <c r="C49" s="2">
        <f>COUNTIF('Pension Funds'!A:A,A49)</f>
        <v/>
      </c>
      <c r="D49" s="4">
        <f>SUMIF('Sovereign Wealth Funds'!A:A,A49,'Sovereign Wealth Funds'!E:E)</f>
        <v/>
      </c>
      <c r="E49" s="4">
        <f>SUMIF('Pension Funds'!A:A,A49,'Pension Funds'!E:E)</f>
        <v/>
      </c>
      <c r="F49" s="4">
        <f>D49+E49</f>
        <v/>
      </c>
    </row>
    <row r="50" ht="15" customHeight="1" s="16">
      <c r="A50" s="2" t="inlineStr">
        <is>
          <t>South Sudan</t>
        </is>
      </c>
      <c r="B50" s="2">
        <f>COUNTIFS('Sovereign Wealth Funds'!A:A,A50,'Sovereign Wealth Funds'!E:E,"&gt;0")</f>
        <v/>
      </c>
      <c r="C50" s="2">
        <f>COUNTIF('Pension Funds'!A:A,A50)</f>
        <v/>
      </c>
      <c r="D50" s="4">
        <f>SUMIF('Sovereign Wealth Funds'!A:A,A50,'Sovereign Wealth Funds'!E:E)</f>
        <v/>
      </c>
      <c r="E50" s="4">
        <f>SUMIF('Pension Funds'!A:A,A50,'Pension Funds'!E:E)</f>
        <v/>
      </c>
      <c r="F50" s="4">
        <f>D50+E50</f>
        <v/>
      </c>
    </row>
    <row r="51" ht="15" customHeight="1" s="16">
      <c r="A51" s="2" t="inlineStr">
        <is>
          <t>Sudan</t>
        </is>
      </c>
      <c r="B51" s="2">
        <f>COUNTIFS('Sovereign Wealth Funds'!A:A,A51,'Sovereign Wealth Funds'!E:E,"&gt;0")</f>
        <v/>
      </c>
      <c r="C51" s="2">
        <f>COUNTIF('Pension Funds'!A:A,A51)</f>
        <v/>
      </c>
      <c r="D51" s="4">
        <f>SUMIF('Sovereign Wealth Funds'!A:A,A51,'Sovereign Wealth Funds'!E:E)</f>
        <v/>
      </c>
      <c r="E51" s="4">
        <f>SUMIF('Pension Funds'!A:A,A51,'Pension Funds'!E:E)</f>
        <v/>
      </c>
      <c r="F51" s="4">
        <f>D51+E51</f>
        <v/>
      </c>
    </row>
    <row r="52" ht="15" customHeight="1" s="16">
      <c r="A52" s="2" t="inlineStr">
        <is>
          <t>Tanzania</t>
        </is>
      </c>
      <c r="B52" s="2">
        <f>COUNTIFS('Sovereign Wealth Funds'!A:A,A52,'Sovereign Wealth Funds'!E:E,"&gt;0")</f>
        <v/>
      </c>
      <c r="C52" s="2">
        <f>COUNTIF('Pension Funds'!A:A,A52)</f>
        <v/>
      </c>
      <c r="D52" s="4">
        <f>SUMIF('Sovereign Wealth Funds'!A:A,A52,'Sovereign Wealth Funds'!E:E)</f>
        <v/>
      </c>
      <c r="E52" s="4">
        <f>SUMIF('Pension Funds'!A:A,A52,'Pension Funds'!E:E)</f>
        <v/>
      </c>
      <c r="F52" s="4">
        <f>D52+E52</f>
        <v/>
      </c>
    </row>
    <row r="53" ht="15" customHeight="1" s="16">
      <c r="A53" s="2" t="inlineStr">
        <is>
          <t>Togo</t>
        </is>
      </c>
      <c r="B53" s="2">
        <f>COUNTIFS('Sovereign Wealth Funds'!A:A,A53,'Sovereign Wealth Funds'!E:E,"&gt;0")</f>
        <v/>
      </c>
      <c r="C53" s="2">
        <f>COUNTIF('Pension Funds'!A:A,A53)</f>
        <v/>
      </c>
      <c r="D53" s="4">
        <f>SUMIF('Sovereign Wealth Funds'!A:A,A53,'Sovereign Wealth Funds'!E:E)</f>
        <v/>
      </c>
      <c r="E53" s="4">
        <f>SUMIF('Pension Funds'!A:A,A53,'Pension Funds'!E:E)</f>
        <v/>
      </c>
      <c r="F53" s="4">
        <f>D53+E53</f>
        <v/>
      </c>
    </row>
    <row r="54" ht="15" customHeight="1" s="16">
      <c r="A54" s="2" t="inlineStr">
        <is>
          <t>Tunisia</t>
        </is>
      </c>
      <c r="B54" s="2">
        <f>COUNTIFS('Sovereign Wealth Funds'!A:A,A54,'Sovereign Wealth Funds'!E:E,"&gt;0")</f>
        <v/>
      </c>
      <c r="C54" s="2">
        <f>COUNTIF('Pension Funds'!A:A,A54)</f>
        <v/>
      </c>
      <c r="D54" s="4">
        <f>SUMIF('Sovereign Wealth Funds'!A:A,A54,'Sovereign Wealth Funds'!E:E)</f>
        <v/>
      </c>
      <c r="E54" s="4">
        <f>SUMIF('Pension Funds'!A:A,A54,'Pension Funds'!E:E)</f>
        <v/>
      </c>
      <c r="F54" s="4">
        <f>D54+E54</f>
        <v/>
      </c>
    </row>
    <row r="55" ht="15" customHeight="1" s="16">
      <c r="A55" s="2" t="inlineStr">
        <is>
          <t>Uganda</t>
        </is>
      </c>
      <c r="B55" s="2">
        <f>COUNTIFS('Sovereign Wealth Funds'!A:A,A55,'Sovereign Wealth Funds'!E:E,"&gt;0")</f>
        <v/>
      </c>
      <c r="C55" s="2">
        <f>COUNTIF('Pension Funds'!A:A,A55)</f>
        <v/>
      </c>
      <c r="D55" s="4">
        <f>SUMIF('Sovereign Wealth Funds'!A:A,A55,'Sovereign Wealth Funds'!E:E)</f>
        <v/>
      </c>
      <c r="E55" s="4">
        <f>SUMIF('Pension Funds'!A:A,A55,'Pension Funds'!E:E)</f>
        <v/>
      </c>
      <c r="F55" s="4">
        <f>D55+E55</f>
        <v/>
      </c>
    </row>
    <row r="56" ht="15" customHeight="1" s="16">
      <c r="A56" s="2" t="inlineStr">
        <is>
          <t>Zambia</t>
        </is>
      </c>
      <c r="B56" s="2">
        <f>COUNTIFS('Sovereign Wealth Funds'!A:A,A56,'Sovereign Wealth Funds'!E:E,"&gt;0")</f>
        <v/>
      </c>
      <c r="C56" s="2">
        <f>COUNTIF('Pension Funds'!A:A,A56)</f>
        <v/>
      </c>
      <c r="D56" s="4">
        <f>SUMIF('Sovereign Wealth Funds'!A:A,A56,'Sovereign Wealth Funds'!E:E)</f>
        <v/>
      </c>
      <c r="E56" s="4">
        <f>SUMIF('Pension Funds'!A:A,A56,'Pension Funds'!E:E)</f>
        <v/>
      </c>
      <c r="F56" s="4">
        <f>D56+E56</f>
        <v/>
      </c>
    </row>
    <row r="57" ht="15" customHeight="1" s="16">
      <c r="A57" s="2" t="inlineStr">
        <is>
          <t>Zimbabwe</t>
        </is>
      </c>
      <c r="B57" s="2">
        <f>COUNTIFS('Sovereign Wealth Funds'!A:A,A57,'Sovereign Wealth Funds'!E:E,"&gt;0")</f>
        <v/>
      </c>
      <c r="C57" s="2">
        <f>COUNTIF('Pension Funds'!A:A,A57)</f>
        <v/>
      </c>
      <c r="D57" s="4">
        <f>SUMIF('Sovereign Wealth Funds'!A:A,A57,'Sovereign Wealth Funds'!E:E)</f>
        <v/>
      </c>
      <c r="E57" s="4">
        <f>SUMIF('Pension Funds'!A:A,A57,'Pension Funds'!E:E)</f>
        <v/>
      </c>
      <c r="F57" s="4">
        <f>D57+E57</f>
        <v/>
      </c>
    </row>
    <row r="58" ht="15" customHeight="1" s="16">
      <c r="A58" s="2" t="inlineStr">
        <is>
          <t>TOTAL</t>
        </is>
      </c>
      <c r="B58" s="2">
        <f>SUM(B4:B57)</f>
        <v/>
      </c>
      <c r="C58" s="2">
        <f>SUM(C4:C57)</f>
        <v/>
      </c>
      <c r="D58" s="4">
        <f>SUM(D4:D57)</f>
        <v/>
      </c>
      <c r="E58" s="4">
        <f>SUM(E4:E57)</f>
        <v/>
      </c>
      <c r="F58" s="4">
        <f>SUM(F4:F57)</f>
        <v/>
      </c>
    </row>
  </sheetData>
  <mergeCells count="1">
    <mergeCell ref="A1:F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B24"/>
  <sheetViews>
    <sheetView zoomScaleNormal="100" workbookViewId="0">
      <selection activeCell="A1" sqref="A1"/>
    </sheetView>
  </sheetViews>
  <sheetFormatPr baseColWidth="8" defaultColWidth="8.7109375" defaultRowHeight="15"/>
  <cols>
    <col width="28" customWidth="1" style="16" min="1" max="1"/>
    <col width="110" customWidth="1" style="16" min="2" max="2"/>
  </cols>
  <sheetData>
    <row r="1" ht="21.75" customHeight="1" s="16">
      <c r="A1" s="5" t="inlineStr">
        <is>
          <t>Methodology, sources, and important caveats</t>
        </is>
      </c>
    </row>
    <row r="2" ht="15" customHeight="1" s="16">
      <c r="A2" s="6" t="n"/>
      <c r="B2" s="17" t="n"/>
    </row>
    <row r="3" ht="34.5" customHeight="1" s="16">
      <c r="A3" s="6" t="inlineStr">
        <is>
          <t>Scope</t>
        </is>
      </c>
      <c r="B3" s="17" t="inlineStr">
        <is>
          <t>All 54 African countries. Allocator universe: sovereign wealth funds (any mandate type) plus pension funds of any kind (public, private, multi-employer, umbrella). Real estate is excluded per scoping; alts of interest are PE/VC, private credit &amp; infrastructure, and direct/co-investments.</t>
        </is>
      </c>
    </row>
    <row r="4" ht="15" customHeight="1" s="16">
      <c r="A4" s="6" t="n"/>
      <c r="B4" s="17" t="n"/>
    </row>
    <row r="5" ht="34.5" customHeight="1" s="16">
      <c r="A5" s="6" t="inlineStr">
        <is>
          <t>AUM figures</t>
        </is>
      </c>
      <c r="B5" s="17" t="inlineStr">
        <is>
          <t>All AUM values are USD-converted approximations and should be treated as order-of-magnitude only. Currency basis (local) and as-of year are noted. Where the institution reports in a local currency, the USD value will move with FX as much as with portfolio performance. Confidence flags reflect source quality, not portfolio performance.</t>
        </is>
      </c>
    </row>
    <row r="6" ht="15" customHeight="1" s="16">
      <c r="A6" s="6" t="n"/>
      <c r="B6" s="17" t="n"/>
    </row>
    <row r="7" ht="34.5" customHeight="1" s="16">
      <c r="A7" s="6" t="inlineStr">
        <is>
          <t>Confidence flags</t>
        </is>
      </c>
      <c r="B7" s="17" t="inlineStr">
        <is>
          <t>H = High: AUM published in audited annual report or regulator return within last 18 months. M = Medium: AUM from secondary databases, trade press, or older primary disclosure. L = Low: AUM is estimated, dated, or based on indirect inference (e.g., regulatory share of contributions). Low-confidence rows MUST be verified before academic publication.</t>
        </is>
      </c>
    </row>
    <row r="8" ht="15" customHeight="1" s="16">
      <c r="A8" s="6" t="n"/>
      <c r="B8" s="17" t="n"/>
    </row>
    <row r="9" ht="57" customHeight="1" s="16">
      <c r="A9" s="6" t="inlineStr">
        <is>
          <t>Universe completeness</t>
        </is>
      </c>
      <c r="B9" s="17" t="inlineStr">
        <is>
          <t>Sovereign wealth funds: substantively complete (Africa has ~22 operational SWFs plus several proposed/planned). Pension funds: covers the largest scheme(s) per country plus the full PFA universe for Nigeria and the major schemes for South Africa, Morocco, and Kenya. Smaller occupational schemes (especially South Africa's ~1,400 registered schemes, Kenya's ~1,300, and Mauritius's standalone corporate schemes) are NOT individually listed — most are too small to make alts commitments. Aggregate AUM for these unlisted schemes is material in SA and Kenya and should be referenced via FSCA and RBA aggregate reports.</t>
        </is>
      </c>
    </row>
    <row r="10" ht="15" customHeight="1" s="16">
      <c r="A10" s="6" t="n"/>
      <c r="B10" s="17" t="n"/>
    </row>
    <row r="11" ht="57" customHeight="1" s="16">
      <c r="A11" s="6" t="inlineStr">
        <is>
          <t>Source priorities for verification</t>
        </is>
      </c>
      <c r="B11" s="17" t="inlineStr">
        <is>
          <t>Phase-2 verification should pull, in this order: (1) audited annual reports from each institution's website; (2) regulator returns (FSCA Reg 28, PenCom Q-reports, RBA industry reports, NPRA Ghana, CIPRES bulletins, ACAPS Morocco); (3) SWF databases (SWFI, Global SWF, IFSWF); (4) AVCA/SAVCA/EAVCA LP surveys; (5) trade press (African Private Equity News, Africa Capital Digest, *DealStreetAfrica*). Where access is available: Preqin and PitchBook LP profiles. Document the source URL + access date for each AUM figure before publication.</t>
        </is>
      </c>
    </row>
    <row r="12" ht="15" customHeight="1" s="16">
      <c r="A12" s="6" t="n"/>
      <c r="B12" s="17" t="n"/>
    </row>
    <row r="13" ht="68.25" customHeight="1" s="16">
      <c r="A13" s="6" t="inlineStr">
        <is>
          <t>Known limitations</t>
        </is>
      </c>
      <c r="B13" s="17" t="inlineStr">
        <is>
          <t>1) Several Francophone CIPRES funds and most North African public PFs do not publish portfolio-detail in English; verify via local-language sources. 2) Ethiopian Investment Holdings AUM is the book value of SOE stakes, not investable capital — apples-to-oranges with cash-funded SWFs. 3) South African umbrella DC funds (Sanlam Umbrella, Old Mutual SuperFund, Alexforbes) are intermediaries — alts commitments flow through underlying portfolio managers, not from the umbrella entity directly. 4) Several proposed SWFs (Kenya, Tanzania) and dormant SWFs (Zimbabwe SWFZ) are included for completeness but have no investable capital. 5) Libya's LIA is mostly under UN sanctions; pre-2011 alts holdings are partially documented but unlikely to be acted on currently.</t>
        </is>
      </c>
    </row>
    <row r="14" ht="15" customHeight="1" s="16">
      <c r="A14" s="6" t="n"/>
      <c r="B14" s="17" t="n"/>
    </row>
    <row r="15" ht="57" customHeight="1" s="16">
      <c r="A15" s="6" t="inlineStr">
        <is>
          <t>Look-through note (CRITICAL)</t>
        </is>
      </c>
      <c r="B15" s="17" t="inlineStr">
        <is>
          <t>Many of the largest African pension pools (notably GEPF in South Africa and the Moroccan parastatal schemes managed by CDG) deploy alts via intermediary asset managers. When attributing alts commitments to allocators, the methodology choice is: (a) attribute to ultimate asset owner (e.g., 'GEPF committed via PIC to Helios IV'), or (b) attribute to the intermediary manager. Default rule for this research is (a) — ultimate asset owner — with the intermediary documented in the same row. This avoids double-counting and is more useful for the academic question of which institutions are deploying capital.</t>
        </is>
      </c>
    </row>
    <row r="16" ht="15" customHeight="1" s="16">
      <c r="A16" s="6" t="n"/>
      <c r="B16" s="17" t="n"/>
    </row>
    <row r="17" ht="45.75" customHeight="1" s="16">
      <c r="A17" s="6" t="inlineStr">
        <is>
          <t>Next phase</t>
        </is>
      </c>
      <c r="B17" s="17" t="inlineStr">
        <is>
          <t>Phase 2 (evidence layer) takes this roster, drops below USD 500m, and pursues for each remaining institution: (i) most recent annual report; (ii) regulator filing for the most recent reporting period; (iii) news search for LP mentions in African PE/infra fund closes over the past 7 years; (iv) GP-side disclosure: for each of the ~30 most active African-focused GPs, harvest every disclosed LP mention since 2018.</t>
        </is>
      </c>
    </row>
    <row r="19" ht="15" customHeight="1" s="16">
      <c r="A19" s="18" t="inlineStr">
        <is>
          <t>Commitments Database scope (clarified)</t>
        </is>
      </c>
    </row>
    <row r="20" ht="199.5" customHeight="1" s="16">
      <c r="A20" s="17" t="inlineStr">
        <is>
          <t>The Commitments Database contains ONLY African pension fund and sovereign wealth fund allocator-to-fund-or-deal commitments. It also includes adjacent entities that are functionally allocator-like and integral to the SWF/pension narrative: (i) sovereign governments making direct AFC equity investments (Côte d'Ivoire, Sierra Leone, Egypt) — functionally similar to SWF deployment; (ii) the KEPFIC pension-fund consortium; (iii) categorical 'multiple Nigerian PFAs' / 'Kenyan pension funds' / 'Ghanaian pension funds' cohort entries where the source explicitly identifies pension fund participation but doesn't name individual schemes. 
DFI catalytic capital providers (FSDAi, Soros Economic Development Fund, FCA Investments, etc.), asset managers acting as intermediaries (Old Mutual IG, Ninety One, Stanbic IMS Ghana, CAL Asset Management Ghana), and commercial banks (Rawbank, Attijariwafa, NIB Egypt) are NOT in the Commitments Database — they appear in the 'Funds &amp; LP Co-Investors' tab as fund-level co-LPs, and in the 'DFI Co-Investor Patterns' tab for frequency analysis.</t>
        </is>
      </c>
    </row>
    <row r="22">
      <c r="A22" s="20" t="inlineStr">
        <is>
          <t>2026-05-14 inclusion audit</t>
        </is>
      </c>
      <c r="B22" s="21" t="inlineStr">
        <is>
          <t>Rows now require evidence of actual African PF/SWF participation for the fund/vehicle. DFI-only, planned, expected, targeted, generic LP-base, and MoU-only rows were removed from the fund and commitment fact tables. KEPFIC and AOFSA are retained only as aggregate pooled-mandate archetypes because public sources evidence actual member-fund investments/commitments; individual member-only rows were removed from the Commitments Database. See Inclusion Audit tab.</t>
        </is>
      </c>
    </row>
    <row r="23">
      <c r="A23" s="20" t="inlineStr">
        <is>
          <t>Pipeline &amp; Mandates category</t>
        </is>
      </c>
      <c r="B23" s="21" t="inlineStr">
        <is>
          <t>Targeted/expected/planned rows are separated into the Pipeline &amp; Mandates tab and excluded from the Commitments Database until actual allocator-to-vehicle commitments are publicly evidenced.</t>
        </is>
      </c>
    </row>
    <row r="24">
      <c r="A24" t="inlineStr">
        <is>
          <t>DFI canonicalization</t>
        </is>
      </c>
      <c r="B24" t="inlineStr">
        <is>
          <t>DFI nomenclature is canonicalized for the web app network graph: each DFI has one node even when source text uses variants such as BII/CDC, CDC Group/BII, EIB Global, Findev Canada, FSDAi, or Proparco/FISEA.</t>
        </is>
      </c>
    </row>
  </sheetData>
  <mergeCells count="1">
    <mergeCell ref="A20:B20"/>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24" customWidth="1" style="16" min="1" max="1"/>
    <col width="12" customWidth="1" style="16" min="2" max="2"/>
    <col width="42" customWidth="1" style="16" min="3" max="3"/>
    <col width="55" customWidth="1" style="16" min="4" max="4"/>
    <col width="20" customWidth="1" style="16" min="5" max="5"/>
    <col width="32" customWidth="1" style="16" min="6" max="6"/>
    <col width="72" customWidth="1" style="16" min="7" max="7"/>
    <col width="80" customWidth="1" style="16" min="8" max="8"/>
  </cols>
  <sheetData>
    <row r="1">
      <c r="A1" s="22" t="inlineStr">
        <is>
          <t>Sheet</t>
        </is>
      </c>
      <c r="B1" s="22" t="inlineStr">
        <is>
          <t>Original row</t>
        </is>
      </c>
      <c r="C1" s="22" t="inlineStr">
        <is>
          <t>Vehicle / entity</t>
        </is>
      </c>
      <c r="D1" s="22" t="inlineStr">
        <is>
          <t>Column H / named African PF/SWF evidence</t>
        </is>
      </c>
      <c r="E1" s="22" t="inlineStr">
        <is>
          <t>Decision</t>
        </is>
      </c>
      <c r="F1" s="22" t="inlineStr">
        <is>
          <t>Audit confidence</t>
        </is>
      </c>
      <c r="G1" s="22" t="inlineStr">
        <is>
          <t>Rationale</t>
        </is>
      </c>
      <c r="H1" s="22" t="inlineStr">
        <is>
          <t>Source URLs</t>
        </is>
      </c>
    </row>
    <row r="2">
      <c r="A2" s="23" t="inlineStr">
        <is>
          <t>Funds &amp; LP Co-Investors</t>
        </is>
      </c>
      <c r="B2" s="23" t="n">
        <v>4</v>
      </c>
      <c r="C2" s="23" t="inlineStr">
        <is>
          <t>Growth Investment Partners (GIP) Ghana</t>
        </is>
      </c>
      <c r="D2" s="23" t="inlineStr">
        <is>
          <t>Axis Pension Trust (USD 5m, 2026)</t>
        </is>
      </c>
      <c r="E2" s="23" t="inlineStr">
        <is>
          <t>Include</t>
        </is>
      </c>
      <c r="F2" s="23" t="inlineStr">
        <is>
          <t>Include</t>
        </is>
      </c>
      <c r="G2" s="23" t="inlineStr">
        <is>
          <t>Column H identifies a named African PF/SWF, a named cohort, or the allocator itself is an African SWF/PF vehicle.</t>
        </is>
      </c>
      <c r="H2" s="23" t="inlineStr"/>
    </row>
    <row r="3">
      <c r="A3" s="23" t="inlineStr">
        <is>
          <t>Funds &amp; LP Co-Investors</t>
        </is>
      </c>
      <c r="B3" s="23" t="n">
        <v>5</v>
      </c>
      <c r="C3" s="23" t="inlineStr">
        <is>
          <t>Growth Investment Partners (GIP) Zambia</t>
        </is>
      </c>
      <c r="D3" s="23" t="inlineStr">
        <is>
          <t>NAPSA Zambia (USD 17.5m)</t>
        </is>
      </c>
      <c r="E3" s="23" t="inlineStr">
        <is>
          <t>Include</t>
        </is>
      </c>
      <c r="F3" s="23" t="inlineStr">
        <is>
          <t>Include</t>
        </is>
      </c>
      <c r="G3" s="23" t="inlineStr">
        <is>
          <t>Column H identifies a named African PF/SWF, a named cohort, or the allocator itself is an African SWF/PF vehicle.</t>
        </is>
      </c>
      <c r="H3" s="23" t="inlineStr"/>
    </row>
    <row r="4">
      <c r="A4" s="23" t="inlineStr">
        <is>
          <t>Funds &amp; LP Co-Investors</t>
        </is>
      </c>
      <c r="B4" s="23" t="n">
        <v>6</v>
      </c>
      <c r="C4" s="23" t="inlineStr">
        <is>
          <t>Ci-Gaba Fund of Funds</t>
        </is>
      </c>
      <c r="D4" s="23" t="inlineStr">
        <is>
          <t>Axis Pension Trust, Enterprise Trustees, plus Stanbic IMS Ghana &amp; CAL AM Ghana managing additional pension money</t>
        </is>
      </c>
      <c r="E4" s="23" t="inlineStr">
        <is>
          <t>Include</t>
        </is>
      </c>
      <c r="F4" s="23" t="inlineStr">
        <is>
          <t>Include</t>
        </is>
      </c>
      <c r="G4" s="23" t="inlineStr">
        <is>
          <t>Column H identifies a named African PF/SWF, a named cohort, or the allocator itself is an African SWF/PF vehicle.</t>
        </is>
      </c>
      <c r="H4" s="23" t="inlineStr"/>
    </row>
    <row r="5">
      <c r="A5" s="23" t="inlineStr">
        <is>
          <t>Funds &amp; LP Co-Investors</t>
        </is>
      </c>
      <c r="B5" s="23" t="n">
        <v>7</v>
      </c>
      <c r="C5" s="23" t="inlineStr">
        <is>
          <t>ARM-Harith Infrastructure Fund I</t>
        </is>
      </c>
      <c r="D5" s="23" t="inlineStr">
        <is>
          <t>Stanbic IBTC Pension Managers, ARM Pension, other PFAs (named in industry coverage)</t>
        </is>
      </c>
      <c r="E5" s="23" t="inlineStr">
        <is>
          <t>Include</t>
        </is>
      </c>
      <c r="F5" s="23" t="inlineStr">
        <is>
          <t>Include</t>
        </is>
      </c>
      <c r="G5" s="23" t="inlineStr">
        <is>
          <t>Column H identifies a named African PF/SWF, a named cohort, or the allocator itself is an African SWF/PF vehicle.</t>
        </is>
      </c>
      <c r="H5" s="23" t="inlineStr"/>
    </row>
    <row r="6">
      <c r="A6" s="23" t="inlineStr">
        <is>
          <t>Funds &amp; LP Co-Investors</t>
        </is>
      </c>
      <c r="B6" s="23" t="n">
        <v>8</v>
      </c>
      <c r="C6" s="23" t="inlineStr">
        <is>
          <t>ARM-Harith Climate &amp; Transition Infrastructure Fund (ACT Fund)</t>
        </is>
      </c>
      <c r="D6" s="23" t="inlineStr">
        <is>
          <t>Nigerian PFAs (expected; 75% local-currency tranche designed to unlock them)</t>
        </is>
      </c>
      <c r="E6" s="23" t="inlineStr">
        <is>
          <t>Exclude</t>
        </is>
      </c>
      <c r="F6" s="23" t="inlineStr">
        <is>
          <t>Excluded - insufficient actual African PF/SWF evidence</t>
        </is>
      </c>
      <c r="G6" s="23" t="inlineStr">
        <is>
          <t>Pipeline/catalytic structure only. Public evidence says FSDAi commitment is expected to unlock Nigerian pension contributions; no named/closed PFA LP evidence found.</t>
        </is>
      </c>
      <c r="H6" s="23" t="inlineStr">
        <is>
          <t>https://archive.fsdafrica.org/arm-harith-and-fsd-africa-investments-announce-gbp-10m-commitment-to-unlock-nigerian-pension-funds-and-catalyse-local-capital-for-infrastructure/</t>
        </is>
      </c>
    </row>
    <row r="7">
      <c r="A7" s="23" t="inlineStr">
        <is>
          <t>Funds &amp; LP Co-Investors</t>
        </is>
      </c>
      <c r="B7" s="23" t="n">
        <v>9</v>
      </c>
      <c r="C7" s="23" t="inlineStr">
        <is>
          <t>Oyass Capital</t>
        </is>
      </c>
      <c r="D7" s="23" t="inlineStr">
        <is>
          <t>FONSIS</t>
        </is>
      </c>
      <c r="E7" s="23" t="inlineStr">
        <is>
          <t>Include</t>
        </is>
      </c>
      <c r="F7" s="23" t="inlineStr">
        <is>
          <t>Include</t>
        </is>
      </c>
      <c r="G7" s="23" t="inlineStr">
        <is>
          <t>Column H identifies a named African PF/SWF, a named cohort, or the allocator itself is an African SWF/PF vehicle.</t>
        </is>
      </c>
      <c r="H7" s="23" t="inlineStr"/>
    </row>
    <row r="8">
      <c r="A8" s="23" t="inlineStr">
        <is>
          <t>Funds &amp; LP Co-Investors</t>
        </is>
      </c>
      <c r="B8" s="23" t="n">
        <v>10</v>
      </c>
      <c r="C8" s="23" t="inlineStr">
        <is>
          <t>Yield Uganda Investment Fund</t>
        </is>
      </c>
      <c r="D8" s="23" t="inlineStr">
        <is>
          <t>NSSF Uganda (EUR 12m founding)</t>
        </is>
      </c>
      <c r="E8" s="23" t="inlineStr">
        <is>
          <t>Include</t>
        </is>
      </c>
      <c r="F8" s="23" t="inlineStr">
        <is>
          <t>Include</t>
        </is>
      </c>
      <c r="G8" s="23" t="inlineStr">
        <is>
          <t>Column H identifies a named African PF/SWF, a named cohort, or the allocator itself is an African SWF/PF vehicle.</t>
        </is>
      </c>
      <c r="H8" s="23" t="inlineStr"/>
    </row>
    <row r="9">
      <c r="A9" s="23" t="inlineStr">
        <is>
          <t>Funds &amp; LP Co-Investors</t>
        </is>
      </c>
      <c r="B9" s="23" t="n">
        <v>11</v>
      </c>
      <c r="C9" s="23" t="inlineStr">
        <is>
          <t>Ascent Rift Valley Fund I (ARVF I)</t>
        </is>
      </c>
      <c r="D9" s="23" t="inlineStr">
        <is>
          <t>KPLC Pension Fund (USD 4m, 2014 — 'first East African pension LP in PE'), NMG Pension Fund (USD 1m, 2015 via STANLIB)</t>
        </is>
      </c>
      <c r="E9" s="23" t="inlineStr">
        <is>
          <t>Include</t>
        </is>
      </c>
      <c r="F9" s="23" t="inlineStr">
        <is>
          <t>Include</t>
        </is>
      </c>
      <c r="G9" s="23" t="inlineStr">
        <is>
          <t>Column H identifies a named African PF/SWF, a named cohort, or the allocator itself is an African SWF/PF vehicle.</t>
        </is>
      </c>
      <c r="H9" s="23" t="inlineStr"/>
    </row>
    <row r="10">
      <c r="A10" s="23" t="inlineStr">
        <is>
          <t>Funds &amp; LP Co-Investors</t>
        </is>
      </c>
      <c r="B10" s="23" t="n">
        <v>12</v>
      </c>
      <c r="C10" s="23" t="inlineStr">
        <is>
          <t>Ascent Rift Valley Fund II (ARVF II)</t>
        </is>
      </c>
      <c r="D10" s="23" t="inlineStr">
        <is>
          <t>KPLC Pension Fund x2 (likely main + Staff RBS), NMG Pension Fund</t>
        </is>
      </c>
      <c r="E10" s="23" t="inlineStr">
        <is>
          <t>Include</t>
        </is>
      </c>
      <c r="F10" s="23" t="inlineStr">
        <is>
          <t>Include</t>
        </is>
      </c>
      <c r="G10" s="23" t="inlineStr">
        <is>
          <t>Column H identifies a named African PF/SWF, a named cohort, or the allocator itself is an African SWF/PF vehicle.</t>
        </is>
      </c>
      <c r="H10" s="23" t="inlineStr"/>
    </row>
    <row r="11">
      <c r="A11" s="23" t="inlineStr">
        <is>
          <t>Funds &amp; LP Co-Investors</t>
        </is>
      </c>
      <c r="B11" s="23" t="n">
        <v>13</v>
      </c>
      <c r="C11" s="23" t="inlineStr">
        <is>
          <t>Adenia Capital V</t>
        </is>
      </c>
      <c r="D11" s="23" t="inlineStr">
        <is>
          <t>PIC South Africa (named); Kenyan pension funds (cohort); Ghanaian pension funds (cohort)</t>
        </is>
      </c>
      <c r="E11" s="23" t="inlineStr">
        <is>
          <t>Include</t>
        </is>
      </c>
      <c r="F11" s="23" t="inlineStr">
        <is>
          <t>Include</t>
        </is>
      </c>
      <c r="G11" s="23" t="inlineStr">
        <is>
          <t>Column H identifies a named African PF/SWF, a named cohort, or the allocator itself is an African SWF/PF vehicle.</t>
        </is>
      </c>
      <c r="H11" s="23" t="inlineStr">
        <is>
          <t>https://impactalpha.com/african-pension-funds-back-adenia-capitals-fifth-impact-private-equity-fund/ ; https://www.adenia.com/investments/</t>
        </is>
      </c>
    </row>
    <row r="12">
      <c r="A12" s="23" t="inlineStr">
        <is>
          <t>Funds &amp; LP Co-Investors</t>
        </is>
      </c>
      <c r="B12" s="23" t="n">
        <v>14</v>
      </c>
      <c r="C12" s="23" t="inlineStr">
        <is>
          <t>Adenia Africa Entrepreneurial Fund (AEF)</t>
        </is>
      </c>
      <c r="D12" s="23" t="inlineStr">
        <is>
          <t>Not individually named</t>
        </is>
      </c>
      <c r="E12" s="23" t="inlineStr">
        <is>
          <t>Exclude</t>
        </is>
      </c>
      <c r="F12" s="23" t="inlineStr">
        <is>
          <t>Excluded - insufficient actual African PF/SWF evidence</t>
        </is>
      </c>
      <c r="G12" s="23" t="inlineStr">
        <is>
          <t>No public African PF/SWF LP identified for AEF; available DFI disclosures name Proparco/BIO/AfDB-style support rather than African pension/SWF LPs.</t>
        </is>
      </c>
      <c r="H12" s="23" t="inlineStr"/>
    </row>
    <row r="13">
      <c r="A13" s="23" t="inlineStr">
        <is>
          <t>Funds &amp; LP Co-Investors</t>
        </is>
      </c>
      <c r="B13" s="23" t="n">
        <v>15</v>
      </c>
      <c r="C13" s="23" t="inlineStr">
        <is>
          <t>Catalyst Fund II</t>
        </is>
      </c>
      <c r="D13" s="23" t="inlineStr">
        <is>
          <t>'Local pension funds' (NSSF Uganda likely; others not named)</t>
        </is>
      </c>
      <c r="E13" s="23" t="inlineStr">
        <is>
          <t>Include</t>
        </is>
      </c>
      <c r="F13" s="23" t="inlineStr">
        <is>
          <t>Include</t>
        </is>
      </c>
      <c r="G13" s="23" t="inlineStr">
        <is>
          <t>Column H identifies a named African PF/SWF, a named cohort, or the allocator itself is an African SWF/PF vehicle.</t>
        </is>
      </c>
      <c r="H13" s="23" t="inlineStr"/>
    </row>
    <row r="14">
      <c r="A14" s="23" t="inlineStr">
        <is>
          <t>Funds &amp; LP Co-Investors</t>
        </is>
      </c>
      <c r="B14" s="23" t="n">
        <v>16</v>
      </c>
      <c r="C14" s="23" t="inlineStr">
        <is>
          <t>Helios Investors II/III/IV (historical)</t>
        </is>
      </c>
      <c r="D14" s="23" t="inlineStr">
        <is>
          <t>PIC South Africa (historical, recurring)</t>
        </is>
      </c>
      <c r="E14" s="23" t="inlineStr">
        <is>
          <t>Include</t>
        </is>
      </c>
      <c r="F14" s="23" t="inlineStr">
        <is>
          <t>Include</t>
        </is>
      </c>
      <c r="G14" s="23" t="inlineStr">
        <is>
          <t>Column H identifies a named African PF/SWF, a named cohort, or the allocator itself is an African SWF/PF vehicle.</t>
        </is>
      </c>
      <c r="H14" s="23" t="inlineStr"/>
    </row>
    <row r="15">
      <c r="A15" s="23" t="inlineStr">
        <is>
          <t>Funds &amp; LP Co-Investors</t>
        </is>
      </c>
      <c r="B15" s="23" t="n">
        <v>17</v>
      </c>
      <c r="C15" s="23" t="inlineStr">
        <is>
          <t>Helios CLEAR Fund (Climate, Energy Access &amp; Resilience)</t>
        </is>
      </c>
      <c r="D15" s="23" t="inlineStr">
        <is>
          <t>None publicly named (Helios indicates SWFs + pension funds among LPs but unspecified)</t>
        </is>
      </c>
      <c r="E15" s="23" t="inlineStr">
        <is>
          <t>Exclude</t>
        </is>
      </c>
      <c r="F15" s="23" t="inlineStr">
        <is>
          <t>Excluded - insufficient actual African PF/SWF evidence</t>
        </is>
      </c>
      <c r="G15" s="23" t="inlineStr">
        <is>
          <t>First-close evidence names DFIs/impact investors; no African PF/SWF LP publicly named. Generic Helios pension/SWF investor-base language is not fund-specific enough.</t>
        </is>
      </c>
      <c r="H15" s="23" t="inlineStr"/>
    </row>
    <row r="16">
      <c r="A16" s="23" t="inlineStr">
        <is>
          <t>Funds &amp; LP Co-Investors</t>
        </is>
      </c>
      <c r="B16" s="23" t="n">
        <v>18</v>
      </c>
      <c r="C16" s="23" t="inlineStr">
        <is>
          <t>Helios Fund V</t>
        </is>
      </c>
      <c r="D16" s="23" t="inlineStr">
        <is>
          <t>Not yet disclosed publicly</t>
        </is>
      </c>
      <c r="E16" s="23" t="inlineStr">
        <is>
          <t>Exclude</t>
        </is>
      </c>
      <c r="F16" s="23" t="inlineStr">
        <is>
          <t>Excluded - insufficient actual African PF/SWF evidence</t>
        </is>
      </c>
      <c r="G16" s="23" t="inlineStr">
        <is>
          <t>Newer fundraising row with no disclosed African PF/SWF LP.</t>
        </is>
      </c>
      <c r="H16" s="23" t="inlineStr"/>
    </row>
    <row r="17">
      <c r="A17" s="23" t="inlineStr">
        <is>
          <t>Funds &amp; LP Co-Investors</t>
        </is>
      </c>
      <c r="B17" s="23" t="n">
        <v>19</v>
      </c>
      <c r="C17" s="23" t="inlineStr">
        <is>
          <t>DPI African Development Partners IV (ADP IV)</t>
        </is>
      </c>
      <c r="D17" s="23" t="inlineStr">
        <is>
          <t>Not yet disclosed publicly (DPI LP base described as including 'sovereign wealth funds + public pension funds' generally)</t>
        </is>
      </c>
      <c r="E17" s="23" t="inlineStr">
        <is>
          <t>Exclude</t>
        </is>
      </c>
      <c r="F17" s="23" t="inlineStr">
        <is>
          <t>Excluded - insufficient actual African PF/SWF evidence</t>
        </is>
      </c>
      <c r="G17" s="23" t="inlineStr">
        <is>
          <t>Generic global LP-base language only; no African PF/SWF commitment publicly named for ADP IV.</t>
        </is>
      </c>
      <c r="H17" s="23" t="inlineStr"/>
    </row>
    <row r="18">
      <c r="A18" s="23" t="inlineStr">
        <is>
          <t>Funds &amp; LP Co-Investors</t>
        </is>
      </c>
      <c r="B18" s="23" t="n">
        <v>20</v>
      </c>
      <c r="C18" s="23" t="inlineStr">
        <is>
          <t>Phatisa Food Fund 3</t>
        </is>
      </c>
      <c r="D18" s="23" t="inlineStr">
        <is>
          <t>Not publicly named</t>
        </is>
      </c>
      <c r="E18" s="23" t="inlineStr">
        <is>
          <t>Exclude</t>
        </is>
      </c>
      <c r="F18" s="23" t="inlineStr">
        <is>
          <t>Excluded - insufficient actual African PF/SWF evidence</t>
        </is>
      </c>
      <c r="G18" s="23" t="inlineStr">
        <is>
          <t>First-close release names BII, FinDev Canada, Norfund, Swedfund, IFC and Phatisa; no African PF/SWF LP.</t>
        </is>
      </c>
      <c r="H18" s="23" t="inlineStr">
        <is>
          <t>https://www.phatisa.com/post/phatisa-food-fund-3-reaches-us-86-million-first-close-and-signs-its-first-investment</t>
        </is>
      </c>
    </row>
    <row r="19">
      <c r="A19" s="23" t="inlineStr">
        <is>
          <t>Funds &amp; LP Co-Investors</t>
        </is>
      </c>
      <c r="B19" s="23" t="n">
        <v>21</v>
      </c>
      <c r="C19" s="23" t="inlineStr">
        <is>
          <t>Vantage Mezzanine IV (Pan-African sub-fund)</t>
        </is>
      </c>
      <c r="D19" s="23" t="inlineStr">
        <is>
          <t>'A number of Southern African pension funds' (per Vantage disclosure; SA pension funds incl. BPOPF — see Phase 2 entry)</t>
        </is>
      </c>
      <c r="E19" s="23" t="inlineStr">
        <is>
          <t>Include</t>
        </is>
      </c>
      <c r="F19" s="23" t="inlineStr">
        <is>
          <t>Include</t>
        </is>
      </c>
      <c r="G19" s="23" t="inlineStr">
        <is>
          <t>Column H identifies a named African PF/SWF, a named cohort, or the allocator itself is an African SWF/PF vehicle.</t>
        </is>
      </c>
      <c r="H19" s="23" t="inlineStr"/>
    </row>
    <row r="20">
      <c r="A20" s="23" t="inlineStr">
        <is>
          <t>Funds &amp; LP Co-Investors</t>
        </is>
      </c>
      <c r="B20" s="23" t="n">
        <v>22</v>
      </c>
      <c r="C20" s="23" t="inlineStr">
        <is>
          <t>Mediterrania Capital II / III / IV</t>
        </is>
      </c>
      <c r="D20" s="23" t="inlineStr">
        <is>
          <t>CDG Morocco (historical LP)</t>
        </is>
      </c>
      <c r="E20" s="23" t="inlineStr">
        <is>
          <t>Include</t>
        </is>
      </c>
      <c r="F20" s="23" t="inlineStr">
        <is>
          <t>Include</t>
        </is>
      </c>
      <c r="G20" s="23" t="inlineStr">
        <is>
          <t>Column H identifies a named African PF/SWF, a named cohort, or the allocator itself is an African SWF/PF vehicle.</t>
        </is>
      </c>
      <c r="H20" s="23" t="inlineStr"/>
    </row>
    <row r="21">
      <c r="A21" s="23" t="inlineStr">
        <is>
          <t>Funds &amp; LP Co-Investors</t>
        </is>
      </c>
      <c r="B21" s="23" t="n">
        <v>23</v>
      </c>
      <c r="C21" s="23" t="inlineStr">
        <is>
          <t>BluePeak Private Capital Fund II</t>
        </is>
      </c>
      <c r="D21" s="23" t="inlineStr">
        <is>
          <t>Not publicly named</t>
        </is>
      </c>
      <c r="E21" s="23" t="inlineStr">
        <is>
          <t>Exclude</t>
        </is>
      </c>
      <c r="F21" s="23" t="inlineStr">
        <is>
          <t>Excluded - insufficient actual African PF/SWF evidence</t>
        </is>
      </c>
      <c r="G21" s="23" t="inlineStr">
        <is>
          <t>First-close releases identify European DFIs only: BII, FMO, Swedfund and SIFEM; no African PF/SWF LP.</t>
        </is>
      </c>
      <c r="H21" s="23" t="inlineStr">
        <is>
          <t>https://sifem.ch/sifem-invests-in-bluepeak-fund-ii/ ; https://www.fmo.nl/news-detail/6cae1491-d8e7-4b1e-924a-fd5f01b4bd08/european-dfis-invest-in-bluepeak-private-capital-fund-ii-to-boost-jobs-resilience-and-private-sector-growth</t>
        </is>
      </c>
    </row>
    <row r="22">
      <c r="A22" s="23" t="inlineStr">
        <is>
          <t>Funds &amp; LP Co-Investors</t>
        </is>
      </c>
      <c r="B22" s="23" t="n">
        <v>24</v>
      </c>
      <c r="C22" s="23" t="inlineStr">
        <is>
          <t>East Africa Growth Holdings (EAGH)</t>
        </is>
      </c>
      <c r="D22" s="23" t="inlineStr">
        <is>
          <t>Not publicly named</t>
        </is>
      </c>
      <c r="E22" s="23" t="inlineStr">
        <is>
          <t>Exclude</t>
        </is>
      </c>
      <c r="F22" s="23" t="inlineStr">
        <is>
          <t>Excluded - insufficient actual African PF/SWF evidence</t>
        </is>
      </c>
      <c r="G22" s="23" t="inlineStr">
        <is>
          <t>Vehicle evidence identifies AfricInvest/FMO/Norfund and I&amp;M transaction context, not an African PF/SWF LP.</t>
        </is>
      </c>
      <c r="H22" s="23" t="inlineStr"/>
    </row>
    <row r="23">
      <c r="A23" s="23" t="inlineStr">
        <is>
          <t>Funds &amp; LP Co-Investors</t>
        </is>
      </c>
      <c r="B23" s="23" t="n">
        <v>25</v>
      </c>
      <c r="C23" s="23" t="inlineStr">
        <is>
          <t>AfricInvest FIVE (Financial Inclusion Vehicle)</t>
        </is>
      </c>
      <c r="D23" s="23" t="inlineStr">
        <is>
          <t>CBK Pension Fund Kenya (since Oct 2018 second close)</t>
        </is>
      </c>
      <c r="E23" s="23" t="inlineStr">
        <is>
          <t>Include</t>
        </is>
      </c>
      <c r="F23" s="23" t="inlineStr">
        <is>
          <t>Include</t>
        </is>
      </c>
      <c r="G23" s="23" t="inlineStr">
        <is>
          <t>Column H identifies a named African PF/SWF, a named cohort, or the allocator itself is an African SWF/PF vehicle.</t>
        </is>
      </c>
      <c r="H23" s="23" t="inlineStr"/>
    </row>
    <row r="24">
      <c r="A24" s="23" t="inlineStr">
        <is>
          <t>Funds &amp; LP Co-Investors</t>
        </is>
      </c>
      <c r="B24" s="23" t="n">
        <v>26</v>
      </c>
      <c r="C24" s="23" t="inlineStr">
        <is>
          <t>Aleyo Capital Fund I</t>
        </is>
      </c>
      <c r="D24" s="23" t="inlineStr">
        <is>
          <t>BPOPF (anchor, BWP 500m / USD ~43m)</t>
        </is>
      </c>
      <c r="E24" s="23" t="inlineStr">
        <is>
          <t>Include</t>
        </is>
      </c>
      <c r="F24" s="23" t="inlineStr">
        <is>
          <t>Include</t>
        </is>
      </c>
      <c r="G24" s="23" t="inlineStr">
        <is>
          <t>Column H identifies a named African PF/SWF, a named cohort, or the allocator itself is an African SWF/PF vehicle.</t>
        </is>
      </c>
      <c r="H24" s="23" t="inlineStr"/>
    </row>
    <row r="25">
      <c r="A25" s="23" t="inlineStr">
        <is>
          <t>Funds &amp; LP Co-Investors</t>
        </is>
      </c>
      <c r="B25" s="23" t="n">
        <v>27</v>
      </c>
      <c r="C25" s="23" t="inlineStr">
        <is>
          <t>Africa Lighthouse Capital Fund I</t>
        </is>
      </c>
      <c r="D25" s="23" t="inlineStr">
        <is>
          <t>BPOPF (anchor, BWP 500m / USD ~43m)</t>
        </is>
      </c>
      <c r="E25" s="23" t="inlineStr">
        <is>
          <t>Include</t>
        </is>
      </c>
      <c r="F25" s="23" t="inlineStr">
        <is>
          <t>Include</t>
        </is>
      </c>
      <c r="G25" s="23" t="inlineStr">
        <is>
          <t>Column H identifies a named African PF/SWF, a named cohort, or the allocator itself is an African SWF/PF vehicle.</t>
        </is>
      </c>
      <c r="H25" s="23" t="inlineStr"/>
    </row>
    <row r="26">
      <c r="A26" s="23" t="inlineStr">
        <is>
          <t>Funds &amp; LP Co-Investors</t>
        </is>
      </c>
      <c r="B26" s="23" t="n">
        <v>28</v>
      </c>
      <c r="C26" s="23" t="inlineStr">
        <is>
          <t>Africa50 (general)</t>
        </is>
      </c>
      <c r="D26" s="23" t="inlineStr">
        <is>
          <t>PIC SA (USD 40m equity, April 2025); 31+ African government shareholders</t>
        </is>
      </c>
      <c r="E26" s="23" t="inlineStr">
        <is>
          <t>Include</t>
        </is>
      </c>
      <c r="F26" s="23" t="inlineStr">
        <is>
          <t>Include</t>
        </is>
      </c>
      <c r="G26" s="23" t="inlineStr">
        <is>
          <t>Column H identifies a named African PF/SWF, a named cohort, or the allocator itself is an African SWF/PF vehicle.</t>
        </is>
      </c>
      <c r="H26" s="23" t="inlineStr"/>
    </row>
    <row r="27">
      <c r="A27" s="23" t="inlineStr">
        <is>
          <t>Funds &amp; LP Co-Investors</t>
        </is>
      </c>
      <c r="B27" s="23" t="n">
        <v>29</v>
      </c>
      <c r="C27" s="23" t="inlineStr">
        <is>
          <t>Africa50 Infrastructure Acceleration Fund (IAF)</t>
        </is>
      </c>
      <c r="D27" s="23" t="inlineStr">
        <is>
          <t>NSIA Nigeria, CDC Sénégal, CDC Benin, CNSS Togo, CDG Invest Morocco</t>
        </is>
      </c>
      <c r="E27" s="23" t="inlineStr">
        <is>
          <t>Include</t>
        </is>
      </c>
      <c r="F27" s="23" t="inlineStr">
        <is>
          <t>Include</t>
        </is>
      </c>
      <c r="G27" s="23" t="inlineStr">
        <is>
          <t>Column H identifies a named African PF/SWF, a named cohort, or the allocator itself is an African SWF/PF vehicle.</t>
        </is>
      </c>
      <c r="H27" s="23" t="inlineStr"/>
    </row>
    <row r="28">
      <c r="A28" s="23" t="inlineStr">
        <is>
          <t>Funds &amp; LP Co-Investors</t>
        </is>
      </c>
      <c r="B28" s="23" t="n">
        <v>30</v>
      </c>
      <c r="C28" s="23" t="inlineStr">
        <is>
          <t>Africa Finance Corporation (AFC) — equity shareholders</t>
        </is>
      </c>
      <c r="D28" s="23" t="inlineStr">
        <is>
          <t>PIC SA (USD 100m, 2022), Seychelles Pension Fund, Mauritius NPF + NSF, GIIF Ghana, CNPS Cameroon, CDC Gabon, Côte d'Ivoire, Sierra Leone, Egypt (2024), Rawbank DRC</t>
        </is>
      </c>
      <c r="E28" s="23" t="inlineStr">
        <is>
          <t>Include</t>
        </is>
      </c>
      <c r="F28" s="23" t="inlineStr">
        <is>
          <t>Include</t>
        </is>
      </c>
      <c r="G28" s="23" t="inlineStr">
        <is>
          <t>Column H identifies a named African PF/SWF, a named cohort, or the allocator itself is an African SWF/PF vehicle.</t>
        </is>
      </c>
      <c r="H28" s="23" t="inlineStr"/>
    </row>
    <row r="29">
      <c r="A29" s="23" t="inlineStr">
        <is>
          <t>Funds &amp; LP Co-Investors</t>
        </is>
      </c>
      <c r="B29" s="23" t="n">
        <v>31</v>
      </c>
      <c r="C29" s="23" t="inlineStr">
        <is>
          <t>Pembani Remgro Infrastructure Fund</t>
        </is>
      </c>
      <c r="D29" s="23" t="inlineStr">
        <is>
          <t>PIC South Africa (anchor, ~USD 250m)</t>
        </is>
      </c>
      <c r="E29" s="23" t="inlineStr">
        <is>
          <t>Include</t>
        </is>
      </c>
      <c r="F29" s="23" t="inlineStr">
        <is>
          <t>Include</t>
        </is>
      </c>
      <c r="G29" s="23" t="inlineStr">
        <is>
          <t>Column H identifies a named African PF/SWF, a named cohort, or the allocator itself is an African SWF/PF vehicle.</t>
        </is>
      </c>
      <c r="H29" s="23" t="inlineStr"/>
    </row>
    <row r="30">
      <c r="A30" s="23" t="inlineStr">
        <is>
          <t>Funds &amp; LP Co-Investors</t>
        </is>
      </c>
      <c r="B30" s="23" t="n">
        <v>32</v>
      </c>
      <c r="C30" s="23" t="inlineStr">
        <is>
          <t>Convergence Partners Communications Infrastructure Fund</t>
        </is>
      </c>
      <c r="D30" s="23" t="inlineStr">
        <is>
          <t>PIC South Africa (historical)</t>
        </is>
      </c>
      <c r="E30" s="23" t="inlineStr">
        <is>
          <t>Include</t>
        </is>
      </c>
      <c r="F30" s="23" t="inlineStr">
        <is>
          <t>Include</t>
        </is>
      </c>
      <c r="G30" s="23" t="inlineStr">
        <is>
          <t>Column H identifies a named African PF/SWF, a named cohort, or the allocator itself is an African SWF/PF vehicle.</t>
        </is>
      </c>
      <c r="H30" s="23" t="inlineStr"/>
    </row>
    <row r="31">
      <c r="A31" s="23" t="inlineStr">
        <is>
          <t>Funds &amp; LP Co-Investors</t>
        </is>
      </c>
      <c r="B31" s="23" t="n">
        <v>33</v>
      </c>
      <c r="C31" s="23" t="inlineStr">
        <is>
          <t>Wessal Capital</t>
        </is>
      </c>
      <c r="D31" s="23" t="inlineStr">
        <is>
          <t>Ithmar Capital (Morocco SWF)</t>
        </is>
      </c>
      <c r="E31" s="23" t="inlineStr">
        <is>
          <t>Include</t>
        </is>
      </c>
      <c r="F31" s="23" t="inlineStr">
        <is>
          <t>Include</t>
        </is>
      </c>
      <c r="G31" s="23" t="inlineStr">
        <is>
          <t>Column H identifies a named African PF/SWF, a named cohort, or the allocator itself is an African SWF/PF vehicle.</t>
        </is>
      </c>
      <c r="H31" s="23" t="inlineStr"/>
    </row>
    <row r="32">
      <c r="A32" s="23" t="inlineStr">
        <is>
          <t>Funds &amp; LP Co-Investors</t>
        </is>
      </c>
      <c r="B32" s="23" t="n">
        <v>34</v>
      </c>
      <c r="C32" s="23" t="inlineStr">
        <is>
          <t>Mohammed VI Fund for Investment</t>
        </is>
      </c>
      <c r="D32" s="23" t="inlineStr">
        <is>
          <t>Mohammed VI Fund itself (the allocator)</t>
        </is>
      </c>
      <c r="E32" s="23" t="inlineStr">
        <is>
          <t>Include</t>
        </is>
      </c>
      <c r="F32" s="23" t="inlineStr">
        <is>
          <t>Include</t>
        </is>
      </c>
      <c r="G32" s="23" t="inlineStr">
        <is>
          <t>Column H identifies a named African PF/SWF, a named cohort, or the allocator itself is an African SWF/PF vehicle.</t>
        </is>
      </c>
      <c r="H32" s="23" t="inlineStr"/>
    </row>
    <row r="33">
      <c r="A33" s="23" t="inlineStr">
        <is>
          <t>Funds &amp; LP Co-Investors</t>
        </is>
      </c>
      <c r="B33" s="23" t="n">
        <v>35</v>
      </c>
      <c r="C33" s="23" t="inlineStr">
        <is>
          <t>Nigeria Infrastructure Fund (NIF, NSIA sub-fund)</t>
        </is>
      </c>
      <c r="D33" s="23" t="inlineStr">
        <is>
          <t>NSIA (the SWF itself)</t>
        </is>
      </c>
      <c r="E33" s="23" t="inlineStr">
        <is>
          <t>Include</t>
        </is>
      </c>
      <c r="F33" s="23" t="inlineStr">
        <is>
          <t>Include</t>
        </is>
      </c>
      <c r="G33" s="23" t="inlineStr">
        <is>
          <t>Column H identifies a named African PF/SWF, a named cohort, or the allocator itself is an African SWF/PF vehicle.</t>
        </is>
      </c>
      <c r="H33" s="23" t="inlineStr"/>
    </row>
    <row r="34">
      <c r="A34" s="23" t="inlineStr">
        <is>
          <t>Funds &amp; LP Co-Investors</t>
        </is>
      </c>
      <c r="B34" s="23" t="n">
        <v>36</v>
      </c>
      <c r="C34" s="23" t="inlineStr">
        <is>
          <t>TSFE-ADQ Egyptian Health Platform</t>
        </is>
      </c>
      <c r="D34" s="23" t="inlineStr">
        <is>
          <t>TSFE (the SWF itself)</t>
        </is>
      </c>
      <c r="E34" s="23" t="inlineStr">
        <is>
          <t>Include</t>
        </is>
      </c>
      <c r="F34" s="23" t="inlineStr">
        <is>
          <t>Include</t>
        </is>
      </c>
      <c r="G34" s="23" t="inlineStr">
        <is>
          <t>Column H identifies a named African PF/SWF, a named cohort, or the allocator itself is an African SWF/PF vehicle.</t>
        </is>
      </c>
      <c r="H34" s="23" t="inlineStr"/>
    </row>
    <row r="35">
      <c r="A35" s="23" t="inlineStr">
        <is>
          <t>Funds &amp; LP Co-Investors</t>
        </is>
      </c>
      <c r="B35" s="23" t="n">
        <v>37</v>
      </c>
      <c r="C35" s="23" t="inlineStr">
        <is>
          <t>KEPFIC pooled mandates (Kenya)</t>
        </is>
      </c>
      <c r="D35" s="23" t="inlineStr">
        <is>
          <t>24 Kenyan retirement benefit funds (named on KEPFIC site); collective ~1/3 of total Kenyan pension AUM</t>
        </is>
      </c>
      <c r="E35" s="23" t="inlineStr">
        <is>
          <t>Move to Pipeline &amp; Mandates</t>
        </is>
      </c>
      <c r="F35" s="23" t="inlineStr">
        <is>
          <t>Moved - aggregate pooled mandate</t>
        </is>
      </c>
      <c r="G35" s="23" t="inlineStr">
        <is>
          <t>Aggregate pooled mandate / consortium archetype, not a conventional fund vehicle LP row. Kept out of Fund Vehicles and Commitments Database to avoid treating a mandate platform as a fund commitment.</t>
        </is>
      </c>
      <c r="H35" s="23" t="inlineStr">
        <is>
          <t>https://www.ifc.org/en/stories/2023/pooling-pensions-in-kenya ; https://www.midaadvisors.com/advisory-firm-financing-the-development-of-critical-infrastructure-in-kenya-with-local-institutional-capital</t>
        </is>
      </c>
    </row>
    <row r="36">
      <c r="A36" s="23" t="inlineStr">
        <is>
          <t>Funds &amp; LP Co-Investors</t>
        </is>
      </c>
      <c r="B36" s="23" t="n">
        <v>38</v>
      </c>
      <c r="C36" s="23" t="inlineStr">
        <is>
          <t>Sahel Capital Fund for Agricultural Finance in Nigeria (FAFIN)</t>
        </is>
      </c>
      <c r="D36" s="23" t="inlineStr">
        <is>
          <t>NSIA Nigeria</t>
        </is>
      </c>
      <c r="E36" s="23" t="inlineStr">
        <is>
          <t>Include</t>
        </is>
      </c>
      <c r="F36" s="23" t="inlineStr">
        <is>
          <t>Include</t>
        </is>
      </c>
      <c r="G36" s="23" t="inlineStr">
        <is>
          <t>Column H identifies a named African PF/SWF, a named cohort, or the allocator itself is an African SWF/PF vehicle.</t>
        </is>
      </c>
      <c r="H36" s="23" t="inlineStr"/>
    </row>
    <row r="37">
      <c r="A37" s="23" t="inlineStr">
        <is>
          <t>Funds &amp; LP Co-Investors</t>
        </is>
      </c>
      <c r="B37" s="23" t="n">
        <v>39</v>
      </c>
      <c r="C37" s="23" t="inlineStr">
        <is>
          <t>Sahel Agribusiness Private Debt Fund</t>
        </is>
      </c>
      <c r="D37" s="23" t="inlineStr">
        <is>
          <t>Targets Nigerian PFAs + insurers as core LPs; not individually disclosed</t>
        </is>
      </c>
      <c r="E37" s="23" t="inlineStr">
        <is>
          <t>Exclude</t>
        </is>
      </c>
      <c r="F37" s="23" t="inlineStr">
        <is>
          <t>Excluded - insufficient actual African PF/SWF evidence</t>
        </is>
      </c>
      <c r="G37" s="23" t="inlineStr">
        <is>
          <t>Launch evidence says subscription is open to/targeting qualified institutional investors including pension funds; no actual PFA allocation disclosed.</t>
        </is>
      </c>
      <c r="H37" s="23" t="inlineStr">
        <is>
          <t>https://www.ecofinagency.com/news-finances/2502-53253-nigerian-investment-firm-sahel-capital-launches-55-million-fund-to-narrow-farm-finance-gap</t>
        </is>
      </c>
    </row>
    <row r="38">
      <c r="A38" s="23" t="inlineStr">
        <is>
          <t>Funds &amp; LP Co-Investors</t>
        </is>
      </c>
      <c r="B38" s="23" t="n">
        <v>40</v>
      </c>
      <c r="C38" s="23" t="inlineStr">
        <is>
          <t>Capital Alliance Private Equity I-IV (CAPE)</t>
        </is>
      </c>
      <c r="D38" s="23" t="inlineStr">
        <is>
          <t>Nigerian PFAs (categorical historical disclosure; ACA explicitly 'championed PE inclusion as allowable Nigerian pension asset class')</t>
        </is>
      </c>
      <c r="E38" s="23" t="inlineStr">
        <is>
          <t>Include</t>
        </is>
      </c>
      <c r="F38" s="23" t="inlineStr">
        <is>
          <t>Include</t>
        </is>
      </c>
      <c r="G38" s="23" t="inlineStr">
        <is>
          <t>Column H identifies a named African PF/SWF, a named cohort, or the allocator itself is an African SWF/PF vehicle.</t>
        </is>
      </c>
      <c r="H38" s="23" t="inlineStr"/>
    </row>
    <row r="39">
      <c r="A39" s="23" t="inlineStr">
        <is>
          <t>Funds &amp; LP Co-Investors</t>
        </is>
      </c>
      <c r="B39" s="23" t="n">
        <v>41</v>
      </c>
      <c r="C39" s="23" t="inlineStr">
        <is>
          <t>Adenia Africa Entrepreneurial Fund (AEF)</t>
        </is>
      </c>
      <c r="D39" s="23" t="inlineStr">
        <is>
          <t>Not individually named; possibly some Kenyan/Ghanaian PF cohort</t>
        </is>
      </c>
      <c r="E39" s="23" t="inlineStr">
        <is>
          <t>Exclude</t>
        </is>
      </c>
      <c r="F39" s="23" t="inlineStr">
        <is>
          <t>Excluded - insufficient actual African PF/SWF evidence</t>
        </is>
      </c>
      <c r="G39" s="23" t="inlineStr">
        <is>
          <t>No public African PF/SWF LP identified for AEF; available DFI disclosures name Proparco/BIO/AfDB-style support rather than African pension/SWF LPs.</t>
        </is>
      </c>
      <c r="H39" s="23" t="inlineStr"/>
    </row>
    <row r="40">
      <c r="A40" s="23" t="inlineStr">
        <is>
          <t>Funds &amp; LP Co-Investors</t>
        </is>
      </c>
      <c r="B40" s="23" t="n">
        <v>42</v>
      </c>
      <c r="C40" s="23" t="inlineStr">
        <is>
          <t>Rwanda SME Growth Fund</t>
        </is>
      </c>
      <c r="D40" s="23" t="inlineStr">
        <is>
          <t>RSSB (Rwanda Social Security Board) — USD 30m anchor + USD 3m TA seed</t>
        </is>
      </c>
      <c r="E40" s="23" t="inlineStr">
        <is>
          <t>Include</t>
        </is>
      </c>
      <c r="F40" s="23" t="inlineStr">
        <is>
          <t>Include</t>
        </is>
      </c>
      <c r="G40" s="23" t="inlineStr">
        <is>
          <t>Column H identifies a named African PF/SWF, a named cohort, or the allocator itself is an African SWF/PF vehicle.</t>
        </is>
      </c>
      <c r="H40" s="23" t="inlineStr"/>
    </row>
    <row r="41">
      <c r="A41" s="23" t="inlineStr">
        <is>
          <t>Funds &amp; LP Co-Investors</t>
        </is>
      </c>
      <c r="B41" s="23" t="n">
        <v>43</v>
      </c>
      <c r="C41" s="23" t="inlineStr">
        <is>
          <t>AOFSA pooled infrastructure mandates (South Africa)</t>
        </is>
      </c>
      <c r="D41" s="23" t="inlineStr">
        <is>
          <t>GEPF; EPPF; Telkom Retirement Fund; Transnet Retirement Fund; National Fund for Municipal Workers; KZN Joint Municipal Pension Fund (NJMPF); KZN Municipal Pension Fund; Motor Industry Retirement Fund (named); 4-7 additional founding members not individually named</t>
        </is>
      </c>
      <c r="E41" s="23" t="inlineStr">
        <is>
          <t>Move to Pipeline &amp; Mandates</t>
        </is>
      </c>
      <c r="F41" s="23" t="inlineStr">
        <is>
          <t>Moved - aggregate pooled mandate</t>
        </is>
      </c>
      <c r="G41" s="23" t="inlineStr">
        <is>
          <t>Aggregate pooled mandate / consortium archetype, not a conventional fund vehicle LP row. Kept out of Fund Vehicles and Commitments Database to avoid treating a mandate platform as a fund commitment.</t>
        </is>
      </c>
      <c r="H41" s="23" t="inlineStr">
        <is>
          <t>https://www.engineeringnews.co.za/article/aofsa-exceeds-infrastructure-investment-target-as-it-marks-first-anniversary-2022-11-21 ; https://www.midaadvisors.com/advisory-firm-what-we-do/institutional-investors-capacity-development</t>
        </is>
      </c>
    </row>
    <row r="42">
      <c r="A42" s="23" t="inlineStr">
        <is>
          <t>Funds &amp; LP Co-Investors</t>
        </is>
      </c>
      <c r="B42" s="23" t="n">
        <v>44</v>
      </c>
      <c r="C42" s="23" t="inlineStr">
        <is>
          <t>Mirepa Capital SME Fund I</t>
        </is>
      </c>
      <c r="D42" s="23" t="inlineStr">
        <is>
          <t>Petra Trust; Axis Pensions; multiple schemes via CAL Asset Management Company (CAMCOL); Venture Capital Trust Fund (VCTF)</t>
        </is>
      </c>
      <c r="E42" s="23" t="inlineStr">
        <is>
          <t>Include</t>
        </is>
      </c>
      <c r="F42" s="23" t="inlineStr">
        <is>
          <t>Include</t>
        </is>
      </c>
      <c r="G42" s="23" t="inlineStr">
        <is>
          <t>Column H identifies a named African PF/SWF, a named cohort, or the allocator itself is an African SWF/PF vehicle.</t>
        </is>
      </c>
      <c r="H42" s="23" t="inlineStr"/>
    </row>
    <row r="43">
      <c r="A43" s="23" t="inlineStr">
        <is>
          <t>Funds &amp; LP Co-Investors</t>
        </is>
      </c>
      <c r="B43" s="23" t="n">
        <v>45</v>
      </c>
      <c r="C43" s="23" t="inlineStr">
        <is>
          <t>Injaro Ghana Venture Capital Fund (IGVCF)</t>
        </is>
      </c>
      <c r="D43" s="23" t="inlineStr">
        <is>
          <t>Specific names not individually disclosed</t>
        </is>
      </c>
      <c r="E43" s="23" t="inlineStr">
        <is>
          <t>Include</t>
        </is>
      </c>
      <c r="F43" s="23" t="inlineStr">
        <is>
          <t>Include</t>
        </is>
      </c>
      <c r="G43" s="23" t="inlineStr">
        <is>
          <t>Column H identifies a named African PF/SWF, a named cohort, or the allocator itself is an African SWF/PF vehicle.</t>
        </is>
      </c>
      <c r="H43" s="23" t="inlineStr"/>
    </row>
    <row r="44">
      <c r="A44" s="23" t="inlineStr">
        <is>
          <t>Funds &amp; LP Co-Investors</t>
        </is>
      </c>
      <c r="B44" s="23" t="n">
        <v>46</v>
      </c>
      <c r="C44" s="23" t="inlineStr">
        <is>
          <t>NSSF Uganda Fund of Funds (planned)</t>
        </is>
      </c>
      <c r="D44" s="23" t="inlineStr">
        <is>
          <t>NSSF Uganda anchor (≥USD 15m + target other regional institutional investors)</t>
        </is>
      </c>
      <c r="E44" s="23" t="inlineStr">
        <is>
          <t>Exclude</t>
        </is>
      </c>
      <c r="F44" s="23" t="inlineStr">
        <is>
          <t>Excluded - insufficient actual African PF/SWF evidence</t>
        </is>
      </c>
      <c r="G44" s="23" t="inlineStr">
        <is>
          <t>Planned/prospective fund of funds, not a closed commitment as of audit date.</t>
        </is>
      </c>
      <c r="H44" s="23" t="inlineStr"/>
    </row>
    <row r="45">
      <c r="A45" s="23" t="inlineStr">
        <is>
          <t>Commitments Database</t>
        </is>
      </c>
      <c r="B45" s="23" t="inlineStr"/>
      <c r="C45" s="23" t="inlineStr">
        <is>
          <t>SA infrastructure mandates via AOFSA</t>
        </is>
      </c>
      <c r="D45" s="23" t="inlineStr">
        <is>
          <t>KZN Municipal Pension Fund</t>
        </is>
      </c>
      <c r="E45" s="23" t="inlineStr">
        <is>
          <t>Exclude</t>
        </is>
      </c>
      <c r="F45" s="23" t="inlineStr">
        <is>
          <t>Excluded - mandate/member/planned evidence only</t>
        </is>
      </c>
      <c r="G45" s="23" t="inlineStr">
        <is>
          <t>Removed from commitments because the row evidenced membership, eligibility, MoU, expected follow-on, or planned allocation rather than an actual allocator-to-vehicle commitment.</t>
        </is>
      </c>
      <c r="H45" s="23" t="inlineStr"/>
    </row>
    <row r="46">
      <c r="A46" s="23" t="inlineStr">
        <is>
          <t>Commitments Database</t>
        </is>
      </c>
      <c r="B46" s="23" t="inlineStr"/>
      <c r="C46" s="23" t="inlineStr">
        <is>
          <t>KEPFIC infrastructure + alts mandates</t>
        </is>
      </c>
      <c r="D46" s="23" t="inlineStr">
        <is>
          <t>KenGen Staff Retirement Benefits Scheme</t>
        </is>
      </c>
      <c r="E46" s="23" t="inlineStr">
        <is>
          <t>Exclude</t>
        </is>
      </c>
      <c r="F46" s="23" t="inlineStr">
        <is>
          <t>Excluded - mandate/member/planned evidence only</t>
        </is>
      </c>
      <c r="G46" s="23" t="inlineStr">
        <is>
          <t>Removed from commitments because the row evidenced membership, eligibility, MoU, expected follow-on, or planned allocation rather than an actual allocator-to-vehicle commitment.</t>
        </is>
      </c>
      <c r="H46" s="23" t="inlineStr"/>
    </row>
    <row r="47">
      <c r="A47" s="23" t="inlineStr">
        <is>
          <t>Commitments Database</t>
        </is>
      </c>
      <c r="B47" s="23" t="inlineStr"/>
      <c r="C47" s="23" t="inlineStr">
        <is>
          <t>KEPFIC infrastructure + alts mandates</t>
        </is>
      </c>
      <c r="D47" s="23" t="inlineStr">
        <is>
          <t>Kenya Pipeline Company Staff Retirement Benefits Scheme</t>
        </is>
      </c>
      <c r="E47" s="23" t="inlineStr">
        <is>
          <t>Exclude</t>
        </is>
      </c>
      <c r="F47" s="23" t="inlineStr">
        <is>
          <t>Excluded - mandate/member/planned evidence only</t>
        </is>
      </c>
      <c r="G47" s="23" t="inlineStr">
        <is>
          <t>Removed from commitments because the row evidenced membership, eligibility, MoU, expected follow-on, or planned allocation rather than an actual allocator-to-vehicle commitment.</t>
        </is>
      </c>
      <c r="H47" s="23" t="inlineStr"/>
    </row>
    <row r="48">
      <c r="A48" s="23" t="inlineStr">
        <is>
          <t>Commitments Database</t>
        </is>
      </c>
      <c r="B48" s="23" t="inlineStr"/>
      <c r="C48" s="23" t="inlineStr">
        <is>
          <t>KEPFIC infrastructure + alts mandates</t>
        </is>
      </c>
      <c r="D48" s="23" t="inlineStr">
        <is>
          <t>Kenya Revenue Authority (KRA) Staff Pension Scheme</t>
        </is>
      </c>
      <c r="E48" s="23" t="inlineStr">
        <is>
          <t>Exclude</t>
        </is>
      </c>
      <c r="F48" s="23" t="inlineStr">
        <is>
          <t>Excluded - mandate/member/planned evidence only</t>
        </is>
      </c>
      <c r="G48" s="23" t="inlineStr">
        <is>
          <t>Removed from commitments because the row evidenced membership, eligibility, MoU, expected follow-on, or planned allocation rather than an actual allocator-to-vehicle commitment.</t>
        </is>
      </c>
      <c r="H48" s="23" t="inlineStr"/>
    </row>
    <row r="49">
      <c r="A49" s="23" t="inlineStr">
        <is>
          <t>Commitments Database</t>
        </is>
      </c>
      <c r="B49" s="23" t="inlineStr"/>
      <c r="C49" s="23" t="inlineStr">
        <is>
          <t>SA infrastructure mandates via AOFSA</t>
        </is>
      </c>
      <c r="D49" s="23" t="inlineStr">
        <is>
          <t>KwaZulu-Natal Joint Municipal Pension Fund (NJMPF)</t>
        </is>
      </c>
      <c r="E49" s="23" t="inlineStr">
        <is>
          <t>Exclude</t>
        </is>
      </c>
      <c r="F49" s="23" t="inlineStr">
        <is>
          <t>Excluded - mandate/member/planned evidence only</t>
        </is>
      </c>
      <c r="G49" s="23" t="inlineStr">
        <is>
          <t>Removed from commitments because the row evidenced membership, eligibility, MoU, expected follow-on, or planned allocation rather than an actual allocator-to-vehicle commitment.</t>
        </is>
      </c>
      <c r="H49" s="23" t="inlineStr"/>
    </row>
    <row r="50">
      <c r="A50" s="23" t="inlineStr">
        <is>
          <t>Commitments Database</t>
        </is>
      </c>
      <c r="B50" s="23" t="inlineStr"/>
      <c r="C50" s="23" t="inlineStr">
        <is>
          <t>SA infrastructure mandates via AOFSA</t>
        </is>
      </c>
      <c r="D50" s="23" t="inlineStr">
        <is>
          <t>Motor Industry Retirement Fund (MIRF)</t>
        </is>
      </c>
      <c r="E50" s="23" t="inlineStr">
        <is>
          <t>Exclude</t>
        </is>
      </c>
      <c r="F50" s="23" t="inlineStr">
        <is>
          <t>Excluded - mandate/member/planned evidence only</t>
        </is>
      </c>
      <c r="G50" s="23" t="inlineStr">
        <is>
          <t>Removed from commitments because the row evidenced membership, eligibility, MoU, expected follow-on, or planned allocation rather than an actual allocator-to-vehicle commitment.</t>
        </is>
      </c>
      <c r="H50" s="23" t="inlineStr"/>
    </row>
    <row r="51">
      <c r="A51" s="23" t="inlineStr">
        <is>
          <t>Commitments Database</t>
        </is>
      </c>
      <c r="B51" s="23" t="inlineStr"/>
      <c r="C51" s="23" t="inlineStr">
        <is>
          <t>ARM-Harith Climate and Transition Infrastructure Fund (ACT Fund)</t>
        </is>
      </c>
      <c r="D51" s="23" t="inlineStr">
        <is>
          <t>Multiple Nigerian PFAs (expected)</t>
        </is>
      </c>
      <c r="E51" s="23" t="inlineStr">
        <is>
          <t>Exclude</t>
        </is>
      </c>
      <c r="F51" s="23" t="inlineStr">
        <is>
          <t>Excluded - mandate/member/planned evidence only</t>
        </is>
      </c>
      <c r="G51" s="23" t="inlineStr">
        <is>
          <t>Removed from commitments because the row evidenced membership, eligibility, MoU, expected follow-on, or planned allocation rather than an actual allocator-to-vehicle commitment.</t>
        </is>
      </c>
      <c r="H51" s="23" t="inlineStr"/>
    </row>
    <row r="52">
      <c r="A52" s="23" t="inlineStr">
        <is>
          <t>Commitments Database</t>
        </is>
      </c>
      <c r="B52" s="23" t="inlineStr"/>
      <c r="C52" s="23" t="inlineStr">
        <is>
          <t>Sahel Agribusiness Private Debt Fund</t>
        </is>
      </c>
      <c r="D52" s="23" t="inlineStr">
        <is>
          <t>Multiple Nigerian institutional investors (incl. PFAs)</t>
        </is>
      </c>
      <c r="E52" s="23" t="inlineStr">
        <is>
          <t>Exclude</t>
        </is>
      </c>
      <c r="F52" s="23" t="inlineStr">
        <is>
          <t>Excluded - mandate/member/planned evidence only</t>
        </is>
      </c>
      <c r="G52" s="23" t="inlineStr">
        <is>
          <t>Removed from commitments because the row evidenced membership, eligibility, MoU, expected follow-on, or planned allocation rather than an actual allocator-to-vehicle commitment.</t>
        </is>
      </c>
      <c r="H52" s="23" t="inlineStr"/>
    </row>
    <row r="53">
      <c r="A53" s="23" t="inlineStr">
        <is>
          <t>Commitments Database</t>
        </is>
      </c>
      <c r="B53" s="23" t="inlineStr"/>
      <c r="C53" s="23" t="inlineStr">
        <is>
          <t>NSSF Uganda Fund of Funds (planned)</t>
        </is>
      </c>
      <c r="D53" s="23" t="inlineStr">
        <is>
          <t>NSSF Uganda</t>
        </is>
      </c>
      <c r="E53" s="23" t="inlineStr">
        <is>
          <t>Exclude</t>
        </is>
      </c>
      <c r="F53" s="23" t="inlineStr">
        <is>
          <t>Excluded - mandate/member/planned evidence only</t>
        </is>
      </c>
      <c r="G53" s="23" t="inlineStr">
        <is>
          <t>Removed from commitments because the row evidenced membership, eligibility, MoU, expected follow-on, or planned allocation rather than an actual allocator-to-vehicle commitment.</t>
        </is>
      </c>
      <c r="H53" s="23" t="inlineStr"/>
    </row>
    <row r="54">
      <c r="A54" s="23" t="inlineStr">
        <is>
          <t>Commitments Database</t>
        </is>
      </c>
      <c r="B54" s="23" t="inlineStr"/>
      <c r="C54" s="23" t="inlineStr">
        <is>
          <t>SA infrastructure mandates via AOFSA</t>
        </is>
      </c>
      <c r="D54" s="23" t="inlineStr">
        <is>
          <t>National Fund for Municipal Workers (NFMW)</t>
        </is>
      </c>
      <c r="E54" s="23" t="inlineStr">
        <is>
          <t>Exclude</t>
        </is>
      </c>
      <c r="F54" s="23" t="inlineStr">
        <is>
          <t>Excluded - mandate/member/planned evidence only</t>
        </is>
      </c>
      <c r="G54" s="23" t="inlineStr">
        <is>
          <t>Removed from commitments because the row evidenced membership, eligibility, MoU, expected follow-on, or planned allocation rather than an actual allocator-to-vehicle commitment.</t>
        </is>
      </c>
      <c r="H54" s="23" t="inlineStr"/>
    </row>
    <row r="55">
      <c r="A55" s="23" t="inlineStr">
        <is>
          <t>Commitments Database</t>
        </is>
      </c>
      <c r="B55" s="23" t="inlineStr"/>
      <c r="C55" s="23" t="inlineStr">
        <is>
          <t>KEPFIC infrastructure + alts mandates</t>
        </is>
      </c>
      <c r="D55" s="23" t="inlineStr">
        <is>
          <t>Safaricom Staff Pension Scheme</t>
        </is>
      </c>
      <c r="E55" s="23" t="inlineStr">
        <is>
          <t>Exclude</t>
        </is>
      </c>
      <c r="F55" s="23" t="inlineStr">
        <is>
          <t>Excluded - mandate/member/planned evidence only</t>
        </is>
      </c>
      <c r="G55" s="23" t="inlineStr">
        <is>
          <t>Removed from commitments because the row evidenced membership, eligibility, MoU, expected follow-on, or planned allocation rather than an actual allocator-to-vehicle commitment.</t>
        </is>
      </c>
      <c r="H55" s="23" t="inlineStr"/>
    </row>
    <row r="56">
      <c r="A56" s="23" t="inlineStr">
        <is>
          <t>Commitments Database</t>
        </is>
      </c>
      <c r="B56" s="23" t="inlineStr"/>
      <c r="C56" s="23" t="inlineStr">
        <is>
          <t>Climate / infra mandate</t>
        </is>
      </c>
      <c r="D56" s="23" t="inlineStr">
        <is>
          <t>The Sovereign Fund of Egypt (TSFE)</t>
        </is>
      </c>
      <c r="E56" s="23" t="inlineStr">
        <is>
          <t>Exclude</t>
        </is>
      </c>
      <c r="F56" s="23" t="inlineStr">
        <is>
          <t>Excluded - mandate/member/planned evidence only</t>
        </is>
      </c>
      <c r="G56" s="23" t="inlineStr">
        <is>
          <t>Removed from commitments because the row evidenced membership, eligibility, MoU, expected follow-on, or planned allocation rather than an actual allocator-to-vehicle commitment.</t>
        </is>
      </c>
      <c r="H56" s="23" t="inlineStr"/>
    </row>
    <row r="57">
      <c r="A57" t="inlineStr">
        <is>
          <t>Funds &amp; LP Co-Investors</t>
        </is>
      </c>
      <c r="C57" t="inlineStr">
        <is>
          <t>Africa Food Security Fund (AFSF)</t>
        </is>
      </c>
      <c r="D57" t="inlineStr">
        <is>
          <t>PIC on behalf of GEPF (South Africa)</t>
        </is>
      </c>
      <c r="E57" t="inlineStr">
        <is>
          <t>Include</t>
        </is>
      </c>
      <c r="F57" t="inlineStr">
        <is>
          <t>Include - confirmed African PF/SWF LP</t>
        </is>
      </c>
      <c r="G57" t="inlineStr">
        <is>
          <t>DGGF names PIC on behalf of GEPF as a first-round investor in AFSF alongside DFIs and DGGF; this is confirmed African pension fund involvement in a fund vehicle.</t>
        </is>
      </c>
      <c r="H57" t="inlineStr">
        <is>
          <t>https://english.dggf.nl/latest/news/2019/01/24/zebu-s-africa-food-security-fund-a-dggf-investee-reaches-total-fund-size-of-usd-84-million</t>
        </is>
      </c>
    </row>
  </sheetData>
  <autoFilter ref="A1:H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4" customWidth="1" style="16" min="1" max="1"/>
    <col width="34" customWidth="1" style="16" min="2" max="2"/>
    <col width="24" customWidth="1" style="16" min="3" max="3"/>
    <col width="34" customWidth="1" style="16" min="4" max="4"/>
    <col width="38" customWidth="1" style="16" min="5" max="5"/>
    <col width="20" customWidth="1" style="16" min="6" max="6"/>
    <col width="20" customWidth="1" style="16" min="7" max="7"/>
    <col width="14" customWidth="1" style="16" min="8" max="8"/>
    <col width="34" customWidth="1" style="16" min="9" max="9"/>
    <col width="12" customWidth="1" style="16" min="10" max="10"/>
    <col width="42" customWidth="1" style="16" min="11" max="11"/>
    <col width="52" customWidth="1" style="16" min="12" max="12"/>
    <col width="58" customWidth="1" style="16" min="13" max="13"/>
    <col width="58" customWidth="1" style="16" min="14" max="14"/>
    <col width="24" customWidth="1" style="16" min="15" max="15"/>
    <col width="14" customWidth="1" style="16" min="16" max="16"/>
  </cols>
  <sheetData>
    <row r="1">
      <c r="A1" s="27" t="inlineStr">
        <is>
          <t>Candidate status</t>
        </is>
      </c>
      <c r="B1" s="27" t="inlineStr">
        <is>
          <t>Vehicle</t>
        </is>
      </c>
      <c r="C1" s="27" t="inlineStr">
        <is>
          <t>Manager / GP</t>
        </is>
      </c>
      <c r="D1" s="27" t="inlineStr">
        <is>
          <t>African PF/SWF evidence</t>
        </is>
      </c>
      <c r="E1" s="27" t="inlineStr">
        <is>
          <t>DFI / Other LP evidence</t>
        </is>
      </c>
      <c r="F1" s="27" t="inlineStr">
        <is>
          <t>Asset class</t>
        </is>
      </c>
      <c r="G1" s="27" t="inlineStr">
        <is>
          <t>Geographic focus</t>
        </is>
      </c>
      <c r="H1" s="27" t="inlineStr">
        <is>
          <t>Vintage / year</t>
        </is>
      </c>
      <c r="I1" s="27" t="inlineStr">
        <is>
          <t>Fund size / commitment evidence</t>
        </is>
      </c>
      <c r="J1" s="27" t="inlineStr">
        <is>
          <t>Confidence</t>
        </is>
      </c>
      <c r="K1" s="27" t="inlineStr">
        <is>
          <t>Recommended action</t>
        </is>
      </c>
      <c r="L1" s="27" t="inlineStr">
        <is>
          <t>Evidence summary</t>
        </is>
      </c>
      <c r="M1" s="27" t="inlineStr">
        <is>
          <t>Primary source URL</t>
        </is>
      </c>
      <c r="N1" s="27" t="inlineStr">
        <is>
          <t>Secondary source URL</t>
        </is>
      </c>
      <c r="O1" s="27" t="inlineStr">
        <is>
          <t>Search batch</t>
        </is>
      </c>
      <c r="P1" s="27" t="inlineStr">
        <is>
          <t>Date added</t>
        </is>
      </c>
    </row>
    <row r="2">
      <c r="A2" s="21" t="inlineStr">
        <is>
          <t>Actioned - added to database</t>
        </is>
      </c>
      <c r="B2" s="21" t="inlineStr">
        <is>
          <t>Africa Food Security Fund (AFSF)</t>
        </is>
      </c>
      <c r="C2" s="21" t="inlineStr">
        <is>
          <t>Zebu Investment Partners</t>
        </is>
      </c>
      <c r="D2" s="21" t="inlineStr">
        <is>
          <t>PIC on behalf of GEPF (South Africa)</t>
        </is>
      </c>
      <c r="E2" s="21" t="inlineStr">
        <is>
          <t>AfDB; CDC Group/BII; Dutch Good Growth Fund; IFU; EBID; Kuramo Capital Management</t>
        </is>
      </c>
      <c r="F2" s="21" t="inlineStr">
        <is>
          <t>PE / agriculture / food security</t>
        </is>
      </c>
      <c r="G2" s="21" t="inlineStr">
        <is>
          <t>Sub-Saharan Africa</t>
        </is>
      </c>
      <c r="H2" s="21" t="inlineStr">
        <is>
          <t>2019</t>
        </is>
      </c>
      <c r="I2" s="21" t="inlineStr">
        <is>
          <t>DGGF says AFSF reached USD 84m; BII page says total commitments USD 90m</t>
        </is>
      </c>
      <c r="J2" s="21" t="inlineStr">
        <is>
          <t>H</t>
        </is>
      </c>
      <c r="K2" s="21" t="inlineStr">
        <is>
          <t>Already added to Commitments, Fund Vehicles, Source Library, Inclusion Audit, and DFI/Other LP patterns.</t>
        </is>
      </c>
      <c r="L2" s="21" t="inlineStr">
        <is>
          <t>DGGF names PIC on behalf of GEPF in first-round investors alongside DFIs and DGGF; BII confirms CDC invested alongside PIC and DFI group.</t>
        </is>
      </c>
      <c r="M2" s="21" t="inlineStr">
        <is>
          <t>https://english.dggf.nl/latest/news/2019/01/24/zebu-s-africa-food-security-fund-a-dggf-investee-reaches-total-fund-size-of-usd-84-million</t>
        </is>
      </c>
      <c r="N2" s="21" t="inlineStr">
        <is>
          <t>https://www.bii.co.uk/en/our-impact/fund/africa-food-security-fund-i-investment-01/</t>
        </is>
      </c>
      <c r="O2" s="21" t="inlineStr">
        <is>
          <t>PIC/GEPF + DFI sweep</t>
        </is>
      </c>
      <c r="P2" s="21" t="inlineStr">
        <is>
          <t>2026-05-19</t>
        </is>
      </c>
    </row>
    <row r="3">
      <c r="A3" s="21" t="inlineStr">
        <is>
          <t>Candidate - likely add after row construction</t>
        </is>
      </c>
      <c r="B3" s="21" t="inlineStr">
        <is>
          <t>Pan African Infrastructure Development Fund (PAIDF)</t>
        </is>
      </c>
      <c r="C3" s="21" t="inlineStr">
        <is>
          <t>PAIDF Management Company / Harith-linked platform</t>
        </is>
      </c>
      <c r="D3" s="21" t="inlineStr">
        <is>
          <t>PIC/GEPF; Eskom Pension and Provident Fund; SSNIT Ghana; Metropolitan/Old Mutual/Stanlib named in source context</t>
        </is>
      </c>
      <c r="E3" s="21" t="inlineStr">
        <is>
          <t>AfDB; DBSA; Absa Capital; Barclays/ABSA Group</t>
        </is>
      </c>
      <c r="F3" s="21" t="inlineStr">
        <is>
          <t>Infrastructure</t>
        </is>
      </c>
      <c r="G3" s="21" t="inlineStr">
        <is>
          <t>Pan-Africa</t>
        </is>
      </c>
      <c r="H3" s="21" t="inlineStr">
        <is>
          <t>2007</t>
        </is>
      </c>
      <c r="I3" s="21" t="inlineStr">
        <is>
          <t>AfDB says target up to USD 450m initially; DBSA annual report says first close in Sep 2007 at USD 625m and DBSA committed USD 100m.</t>
        </is>
      </c>
      <c r="J3" s="21" t="inlineStr">
        <is>
          <t>H</t>
        </is>
      </c>
      <c r="K3" s="21" t="inlineStr">
        <is>
          <t>Add to Commitments and Fund Vehicles if historical scope includes older infrastructure funds; likely multiple African PF/SWF LP rows or a single aggregate historical PAIDF row.</t>
        </is>
      </c>
      <c r="L3" s="21" t="inlineStr">
        <is>
          <t>AfDB page names PIC/GEPF and EPPF as potential/reputable investors and PIC as chief sponsor; DBSA annual report says DBSA invested alongside PIC, AfDB, and SSNIT.</t>
        </is>
      </c>
      <c r="M3" s="21" t="inlineStr">
        <is>
          <t>https://www.afdb.org/en/news-and-events/pan-african-infrastructure-development-fund-paidf-afdb-group-proposes-us-50-million-investment-in-paidf-3476</t>
        </is>
      </c>
      <c r="N3" s="21" t="inlineStr">
        <is>
          <t>https://www.dbsa.org/sites/default/files/media/documents/2021-09/DBSA%20and%20Development%20Fund%20Annual%20Reports%202008.pdf</t>
        </is>
      </c>
      <c r="O3" s="21" t="inlineStr">
        <is>
          <t>PIC/GEPF + DFI sweep</t>
        </is>
      </c>
      <c r="P3" s="21" t="inlineStr">
        <is>
          <t>2026-05-19</t>
        </is>
      </c>
    </row>
    <row r="4">
      <c r="A4" s="21" t="inlineStr">
        <is>
          <t>Candidate - new 2026 item</t>
        </is>
      </c>
      <c r="B4" s="21" t="inlineStr">
        <is>
          <t>Hlayisani Venture Fund II (HVF II)</t>
        </is>
      </c>
      <c r="C4" s="21" t="inlineStr">
        <is>
          <t>Hlayisani Capital</t>
        </is>
      </c>
      <c r="D4" s="21" t="inlineStr">
        <is>
          <t>Public Investment Corporation (PIC)</t>
        </is>
      </c>
      <c r="E4" s="21" t="inlineStr">
        <is>
          <t>SA SME Fund; additional private investors and family offices</t>
        </is>
      </c>
      <c r="F4" s="21" t="inlineStr">
        <is>
          <t>VC / technology-enabled SMEs</t>
        </is>
      </c>
      <c r="G4" s="21" t="inlineStr">
        <is>
          <t>South Africa</t>
        </is>
      </c>
      <c r="H4" s="21" t="inlineStr">
        <is>
          <t>2026</t>
        </is>
      </c>
      <c r="I4" s="21" t="inlineStr">
        <is>
          <t>R500m / about USD 30m commitments to date; final close targeted June 2026.</t>
        </is>
      </c>
      <c r="J4" s="21" t="inlineStr">
        <is>
          <t>H</t>
        </is>
      </c>
      <c r="K4" s="21" t="inlineStr">
        <is>
          <t>Add to Commitments and Fund Vehicles as confirmed first-close/commitments-to-date, with note that final close is pending.</t>
        </is>
      </c>
      <c r="L4" s="21" t="inlineStr">
        <is>
          <t>Hlayisani and multiple trade sources say Fund II is anchored by PIC and SA SME Fund with R500m committed to date.</t>
        </is>
      </c>
      <c r="M4" s="21" t="inlineStr">
        <is>
          <t>https://hlayisani.com/</t>
        </is>
      </c>
      <c r="N4" s="21" t="inlineStr">
        <is>
          <t>https://disruptafrica.com/2026/03/11/sas-hlayisani-capital-launches-2nd-fund-with-initial-29-9m-in-commitments/</t>
        </is>
      </c>
      <c r="O4" s="21" t="inlineStr">
        <is>
          <t>PIC/GEPF + recent fund-close sweep</t>
        </is>
      </c>
      <c r="P4" s="21" t="inlineStr">
        <is>
          <t>2026-05-19</t>
        </is>
      </c>
    </row>
    <row r="5">
      <c r="A5" s="21" t="inlineStr">
        <is>
          <t>Candidate - research vehicle identity</t>
        </is>
      </c>
      <c r="B5" s="21" t="inlineStr">
        <is>
          <t>Medu Capital Fund II</t>
        </is>
      </c>
      <c r="C5" s="21" t="inlineStr">
        <is>
          <t>Medu Capital</t>
        </is>
      </c>
      <c r="D5" s="21" t="inlineStr">
        <is>
          <t>Eskom Pension and Provident Fund; Public Investment Corporation</t>
        </is>
      </c>
      <c r="E5" s="21" t="inlineStr">
        <is>
          <t>DBSA; CDC Group; FMO; Alternative Equity Partners; Brait; Metropolitan; Vunani</t>
        </is>
      </c>
      <c r="F5" s="21" t="inlineStr">
        <is>
          <t>PE / BEE mid-market</t>
        </is>
      </c>
      <c r="G5" s="21" t="inlineStr">
        <is>
          <t>South Africa</t>
        </is>
      </c>
      <c r="H5" s="21" t="inlineStr">
        <is>
          <t>2008</t>
        </is>
      </c>
      <c r="I5" s="21" t="inlineStr">
        <is>
          <t>DBSA annual report says capitalisation R850m; DBSA provided R100m.</t>
        </is>
      </c>
      <c r="J5" s="21" t="inlineStr">
        <is>
          <t>M-H</t>
        </is>
      </c>
      <c r="K5" s="21" t="inlineStr">
        <is>
          <t>Review whether the vehicle is in scope as alternatives/fund LP; likely add if historical South Africa domestic PE vehicles are included.</t>
        </is>
      </c>
      <c r="L5" s="21" t="inlineStr">
        <is>
          <t>DBSA annual report identifies Medu II investors including EPPF, PIC, CDC, FMO and DBSA.</t>
        </is>
      </c>
      <c r="M5" s="21" t="inlineStr">
        <is>
          <t>https://www.dbsa.org/sites/default/files/media/documents/2021-09/DBSA%20and%20Development%20Fund%20Annual%20Reports%202008.pdf</t>
        </is>
      </c>
      <c r="N5" s="21" t="inlineStr"/>
      <c r="O5" s="21" t="inlineStr">
        <is>
          <t>DBSA historical PE fund sweep</t>
        </is>
      </c>
      <c r="P5" s="21" t="inlineStr">
        <is>
          <t>2026-05-19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9"/>
  <sheetViews>
    <sheetView zoomScaleNormal="100" workbookViewId="0">
      <pane ySplit="1" topLeftCell="A2" activePane="bottomLeft" state="frozen"/>
      <selection pane="bottomLeft" activeCell="A1" sqref="A1"/>
    </sheetView>
  </sheetViews>
  <sheetFormatPr baseColWidth="8" defaultColWidth="8.7109375" defaultRowHeight="15"/>
  <cols>
    <col width="22" customWidth="1" style="16" min="1" max="2"/>
    <col width="60" customWidth="1" style="16" min="3" max="3"/>
    <col width="16" customWidth="1" style="16" min="4" max="4"/>
    <col width="80" customWidth="1" style="16" min="5" max="5"/>
    <col width="50" customWidth="1" style="16" min="6" max="6"/>
  </cols>
  <sheetData>
    <row r="1" ht="15" customHeight="1" s="16">
      <c r="A1" s="1" t="inlineStr">
        <is>
          <t>Allocator</t>
        </is>
      </c>
      <c r="B1" s="1" t="inlineStr">
        <is>
          <t>Source type</t>
        </is>
      </c>
      <c r="C1" s="1" t="inlineStr">
        <is>
          <t>Title / publication</t>
        </is>
      </c>
      <c r="D1" s="1" t="inlineStr">
        <is>
          <t>Date accessed</t>
        </is>
      </c>
      <c r="E1" s="1" t="inlineStr">
        <is>
          <t>URL</t>
        </is>
      </c>
      <c r="F1" s="1" t="inlineStr">
        <is>
          <t>Used for</t>
        </is>
      </c>
    </row>
    <row r="2" ht="23.25" customHeight="1" s="16">
      <c r="A2" s="2" t="inlineStr">
        <is>
          <t>PIC</t>
        </is>
      </c>
      <c r="B2" s="2" t="inlineStr">
        <is>
          <t>Press release</t>
        </is>
      </c>
      <c r="C2" s="2" t="inlineStr">
        <is>
          <t>Africa50: PIC becomes 36th shareholder</t>
        </is>
      </c>
      <c r="D2" s="2" t="inlineStr">
        <is>
          <t>May 2026</t>
        </is>
      </c>
      <c r="E2" s="2" t="inlineStr">
        <is>
          <t>https://www.africa50.com/media/news/article/south-africas-public-investment-corporation-pic-becomes-36th-shareholder-of-africa50-with-a-us40-million-investment/</t>
        </is>
      </c>
      <c r="F2" s="2" t="inlineStr">
        <is>
          <t>PIC USD 40m Africa50 investment April 2025</t>
        </is>
      </c>
    </row>
    <row r="3" ht="15" customHeight="1" s="16">
      <c r="A3" s="2" t="inlineStr">
        <is>
          <t>PIC</t>
        </is>
      </c>
      <c r="B3" s="2" t="inlineStr">
        <is>
          <t>Corporate plan</t>
        </is>
      </c>
      <c r="C3" s="2" t="inlineStr">
        <is>
          <t>PIC Corporate Plan 2025/26 – 2027/28</t>
        </is>
      </c>
      <c r="D3" s="2" t="inlineStr">
        <is>
          <t>May 2026</t>
        </is>
      </c>
      <c r="E3" s="2" t="inlineStr">
        <is>
          <t>https://static.pmg.org.za/PIC_Corporate_Plan_2025.pdf</t>
        </is>
      </c>
      <c r="F3" s="2" t="inlineStr">
        <is>
          <t>PIC mandate restructuring; alts allocation programme</t>
        </is>
      </c>
    </row>
    <row r="4" ht="23.25" customHeight="1" s="16">
      <c r="A4" s="2" t="inlineStr">
        <is>
          <t>PIC</t>
        </is>
      </c>
      <c r="B4" s="2" t="inlineStr">
        <is>
          <t>Trade press</t>
        </is>
      </c>
      <c r="C4" s="2" t="inlineStr">
        <is>
          <t>Africa's Largest Investment Manager Plans Big Shift to Private Assets (MarketsGroup)</t>
        </is>
      </c>
      <c r="D4" s="2" t="inlineStr">
        <is>
          <t>May 2026</t>
        </is>
      </c>
      <c r="E4" s="2" t="inlineStr">
        <is>
          <t>https://www.marketsgroup.org/news/pic-plans-big-private-assets-shift</t>
        </is>
      </c>
      <c r="F4" s="2" t="inlineStr">
        <is>
          <t>PIC strategy shift toward private assets; prior R70bn PE allocation</t>
        </is>
      </c>
    </row>
    <row r="5" ht="23.25" customHeight="1" s="16">
      <c r="A5" s="2" t="inlineStr">
        <is>
          <t>NSIA</t>
        </is>
      </c>
      <c r="B5" s="2" t="inlineStr">
        <is>
          <t>Press release</t>
        </is>
      </c>
      <c r="C5" s="2" t="inlineStr">
        <is>
          <t>NSIA to invest in Africa50 Infrastructure Acceleration Fund</t>
        </is>
      </c>
      <c r="D5" s="2" t="inlineStr">
        <is>
          <t>May 2026</t>
        </is>
      </c>
      <c r="E5" s="2" t="inlineStr">
        <is>
          <t>https://nsia.com.ng/nigeria-sovereign-investment-authority-to-invest-in-africa50-infrastructure-acceleration-fund/</t>
        </is>
      </c>
      <c r="F5" s="2" t="inlineStr">
        <is>
          <t>NSIA latest fund LP investment Feb 2026</t>
        </is>
      </c>
    </row>
    <row r="6" ht="15" customHeight="1" s="16">
      <c r="A6" s="2" t="inlineStr">
        <is>
          <t>NSIA</t>
        </is>
      </c>
      <c r="B6" s="2" t="inlineStr">
        <is>
          <t>Profile</t>
        </is>
      </c>
      <c r="C6" s="2" t="inlineStr">
        <is>
          <t>NSIA Fund Profile – Global SWF</t>
        </is>
      </c>
      <c r="D6" s="2" t="inlineStr">
        <is>
          <t>May 2026</t>
        </is>
      </c>
      <c r="E6" s="2" t="inlineStr">
        <is>
          <t>https://globalswf.com/fund/NSIA</t>
        </is>
      </c>
      <c r="F6" s="2" t="inlineStr">
        <is>
          <t>NSIA AUM and sub-fund structure</t>
        </is>
      </c>
    </row>
    <row r="7" ht="23.25" customHeight="1" s="16">
      <c r="A7" s="2" t="inlineStr">
        <is>
          <t>NSIA</t>
        </is>
      </c>
      <c r="B7" s="2" t="inlineStr">
        <is>
          <t>DFI document</t>
        </is>
      </c>
      <c r="C7" s="2" t="inlineStr">
        <is>
          <t>AfDB Nigeria Sovereign Investment Authority Project Summary Note</t>
        </is>
      </c>
      <c r="D7" s="2" t="inlineStr">
        <is>
          <t>May 2026</t>
        </is>
      </c>
      <c r="E7" s="2" t="inlineStr">
        <is>
          <t>https://www.afdb.org/en/documents/nigeria-nigeria-sovereign-investment-authority-project-summary-note</t>
        </is>
      </c>
      <c r="F7" s="2" t="inlineStr">
        <is>
          <t>AfDB co-financing with NSIA</t>
        </is>
      </c>
    </row>
    <row r="8" ht="23.25" customHeight="1" s="16">
      <c r="A8" s="2" t="inlineStr">
        <is>
          <t>GIPF</t>
        </is>
      </c>
      <c r="B8" s="2" t="inlineStr">
        <is>
          <t>Allocator disclosure</t>
        </is>
      </c>
      <c r="C8" s="2" t="inlineStr">
        <is>
          <t>GIPF Unlisted Investments – Portfolio Overview</t>
        </is>
      </c>
      <c r="D8" s="2" t="inlineStr">
        <is>
          <t>May 2026</t>
        </is>
      </c>
      <c r="E8" s="2" t="inlineStr">
        <is>
          <t>https://www.gipf.com.na/unlisted-investments/</t>
        </is>
      </c>
      <c r="F8" s="2" t="inlineStr">
        <is>
          <t>GIPF alts portfolio detail (41 managers, 77 funds, 307 companies)</t>
        </is>
      </c>
    </row>
    <row r="9" ht="15" customHeight="1" s="16">
      <c r="A9" s="2" t="inlineStr">
        <is>
          <t>GIPF</t>
        </is>
      </c>
      <c r="B9" s="2" t="inlineStr">
        <is>
          <t>Trade press</t>
        </is>
      </c>
      <c r="C9" s="2" t="inlineStr">
        <is>
          <t>Get a share of GIPF's Unlisted Investment Portfolio (New Era Live)</t>
        </is>
      </c>
      <c r="D9" s="2" t="inlineStr">
        <is>
          <t>May 2026</t>
        </is>
      </c>
      <c r="E9" s="2" t="inlineStr">
        <is>
          <t>https://neweralive.na/get-a-share-of-gipfs-unlisted-investment-portfolio/</t>
        </is>
      </c>
      <c r="F9" s="2" t="inlineStr">
        <is>
          <t>GIPF alts portfolio size and structure</t>
        </is>
      </c>
    </row>
    <row r="10" ht="15" customHeight="1" s="16">
      <c r="A10" s="2" t="inlineStr">
        <is>
          <t>GIPF</t>
        </is>
      </c>
      <c r="B10" s="2" t="inlineStr">
        <is>
          <t>Allocator filing</t>
        </is>
      </c>
      <c r="C10" s="2" t="inlineStr">
        <is>
          <t>GIPF Investment Strategy and Policies</t>
        </is>
      </c>
      <c r="D10" s="2" t="inlineStr">
        <is>
          <t>May 2026</t>
        </is>
      </c>
      <c r="E10" s="2" t="inlineStr">
        <is>
          <t>https://www.gipf.com.na/investment-policies/</t>
        </is>
      </c>
      <c r="F10" s="2" t="inlineStr">
        <is>
          <t>Unlisted Investment Policy detail</t>
        </is>
      </c>
    </row>
    <row r="11" ht="23.25" customHeight="1" s="16">
      <c r="A11" s="2" t="inlineStr">
        <is>
          <t>Helios</t>
        </is>
      </c>
      <c r="B11" s="2" t="inlineStr">
        <is>
          <t>Trade press</t>
        </is>
      </c>
      <c r="C11" s="2" t="inlineStr">
        <is>
          <t>Africa-Focused Helios Secures Lineup of Investors for CLEAR Fund's $200M First Close</t>
        </is>
      </c>
      <c r="D11" s="2" t="inlineStr">
        <is>
          <t>May 2026</t>
        </is>
      </c>
      <c r="E11" s="2" t="inlineStr">
        <is>
          <t>https://globalaginvesting.com/africa-focused-helios-secures-lineup-of-investors-for-clear-funds-200m-first-close/</t>
        </is>
      </c>
      <c r="F11" s="2" t="inlineStr">
        <is>
          <t>Helios CLEAR Fund first close; African pension LPs cited generically</t>
        </is>
      </c>
    </row>
    <row r="12" ht="15" customHeight="1" s="16">
      <c r="A12" s="2" t="inlineStr">
        <is>
          <t>Helios</t>
        </is>
      </c>
      <c r="B12" s="2" t="inlineStr">
        <is>
          <t>Allocator disclosure</t>
        </is>
      </c>
      <c r="C12" s="2" t="inlineStr">
        <is>
          <t>Helios Investment Partners – Investments page</t>
        </is>
      </c>
      <c r="D12" s="2" t="inlineStr">
        <is>
          <t>May 2026</t>
        </is>
      </c>
      <c r="E12" s="2" t="inlineStr">
        <is>
          <t>https://www.heliosinvestment.com/investments</t>
        </is>
      </c>
      <c r="F12" s="2" t="inlineStr">
        <is>
          <t>Helios portfolio and LP composition</t>
        </is>
      </c>
    </row>
    <row r="13" ht="15" customHeight="1" s="16">
      <c r="A13" s="2" t="inlineStr">
        <is>
          <t>NSSF Uganda</t>
        </is>
      </c>
      <c r="B13" s="2" t="inlineStr">
        <is>
          <t>Allocator disclosure</t>
        </is>
      </c>
      <c r="C13" s="2" t="inlineStr">
        <is>
          <t>NSSF Uganda Investments</t>
        </is>
      </c>
      <c r="D13" s="2" t="inlineStr">
        <is>
          <t>May 2026</t>
        </is>
      </c>
      <c r="E13" s="2" t="inlineStr">
        <is>
          <t>https://www.nssfug.org/about-us/investments/</t>
        </is>
      </c>
      <c r="F13" s="2" t="inlineStr">
        <is>
          <t>NSSF Uganda investment beliefs and alts split</t>
        </is>
      </c>
    </row>
    <row r="14" ht="15" customHeight="1" s="16">
      <c r="A14" s="2" t="inlineStr">
        <is>
          <t>NSSF Uganda</t>
        </is>
      </c>
      <c r="B14" s="2" t="inlineStr">
        <is>
          <t>Allocator integrated report</t>
        </is>
      </c>
      <c r="C14" s="2" t="inlineStr">
        <is>
          <t>NSSF Uganda Integrated Report – Investment Beliefs</t>
        </is>
      </c>
      <c r="D14" s="2" t="inlineStr">
        <is>
          <t>May 2026</t>
        </is>
      </c>
      <c r="E14" s="2" t="inlineStr">
        <is>
          <t>https://nssfintegratedreport.com/investment-beliefs/</t>
        </is>
      </c>
      <c r="F14" s="2" t="inlineStr">
        <is>
          <t>NSSF Uganda alts allocation</t>
        </is>
      </c>
    </row>
    <row r="15" ht="23.25" customHeight="1" s="16">
      <c r="A15" s="2" t="inlineStr">
        <is>
          <t>NSSF Uganda</t>
        </is>
      </c>
      <c r="B15" s="2" t="inlineStr">
        <is>
          <t>Trade press</t>
        </is>
      </c>
      <c r="C15" s="2" t="inlineStr">
        <is>
          <t>Yield Uganda Investment Fund – Pearl Capital Partners page</t>
        </is>
      </c>
      <c r="D15" s="2" t="inlineStr">
        <is>
          <t>May 2026</t>
        </is>
      </c>
      <c r="E15" s="2" t="inlineStr">
        <is>
          <t>https://pearlcapital.net/yield-uganda-investments/</t>
        </is>
      </c>
      <c r="F15" s="2" t="inlineStr">
        <is>
          <t>Yield Uganda Investment Fund detail; NSSF Uganda founding LP</t>
        </is>
      </c>
    </row>
    <row r="16" ht="23.25" customHeight="1" s="16">
      <c r="A16" s="2" t="inlineStr">
        <is>
          <t>NSSF Uganda</t>
        </is>
      </c>
      <c r="B16" s="2" t="inlineStr">
        <is>
          <t>Trade press</t>
        </is>
      </c>
      <c r="C16" s="2" t="inlineStr">
        <is>
          <t>ImpactAlpha — Uganda's pension fund creates new savers via investments in small business and agriculture</t>
        </is>
      </c>
      <c r="D16" s="2" t="inlineStr">
        <is>
          <t>May 2026</t>
        </is>
      </c>
      <c r="E16" s="2" t="inlineStr">
        <is>
          <t>https://impactalpha.com/ugandas-pension-fund-is-creating-new-savers-with-investments-in-small-business-and-agriculture-video/</t>
        </is>
      </c>
      <c r="F16" s="2" t="inlineStr">
        <is>
          <t>NSSF Uganda's domestic alts strategy</t>
        </is>
      </c>
    </row>
    <row r="17" ht="15" customHeight="1" s="16">
      <c r="A17" s="2" t="inlineStr">
        <is>
          <t>BPOPF</t>
        </is>
      </c>
      <c r="B17" s="2" t="inlineStr">
        <is>
          <t>Trade press</t>
        </is>
      </c>
      <c r="C17" s="2" t="inlineStr">
        <is>
          <t>BPOPF seeks 'sweet spot' in alternative investments (Guardian Sun)</t>
        </is>
      </c>
      <c r="D17" s="2" t="inlineStr">
        <is>
          <t>May 2026</t>
        </is>
      </c>
      <c r="E17" s="2" t="inlineStr">
        <is>
          <t>https://guardiansun.co.bw/News/bpopf-seeks-sweet-spot-in-alternative-investments</t>
        </is>
      </c>
      <c r="F17" s="2" t="inlineStr">
        <is>
          <t>BPOPF alts strategy and target allocation</t>
        </is>
      </c>
    </row>
    <row r="18" ht="23.25" customHeight="1" s="16">
      <c r="A18" s="2" t="inlineStr">
        <is>
          <t>BPOPF</t>
        </is>
      </c>
      <c r="B18" s="2" t="inlineStr">
        <is>
          <t>Trade press</t>
        </is>
      </c>
      <c r="C18" s="2" t="inlineStr">
        <is>
          <t>BPOPF invests in private equity (Daily News Botswana)</t>
        </is>
      </c>
      <c r="D18" s="2" t="inlineStr">
        <is>
          <t>May 2026</t>
        </is>
      </c>
      <c r="E18" s="2" t="inlineStr">
        <is>
          <t>https://dailynews.gov.bw/news-detail/44405</t>
        </is>
      </c>
      <c r="F18" s="2" t="inlineStr">
        <is>
          <t>BPOPF Aleyo Capital and Africa Lighthouse 2017 commitments</t>
        </is>
      </c>
    </row>
    <row r="19" ht="23.25" customHeight="1" s="16">
      <c r="A19" s="2" t="inlineStr">
        <is>
          <t>BPOPF</t>
        </is>
      </c>
      <c r="B19" s="2" t="inlineStr">
        <is>
          <t>Research report</t>
        </is>
      </c>
      <c r="C19" s="2" t="inlineStr">
        <is>
          <t>SAVCA-FSDA Pension Funds, Private Equity and Private Debt in Southern Africa (2022)</t>
        </is>
      </c>
      <c r="D19" s="2" t="inlineStr">
        <is>
          <t>May 2026</t>
        </is>
      </c>
      <c r="E19" s="2" t="inlineStr">
        <is>
          <t>https://www.fsdafrica.org/wp-content/uploads/2022/08/SAVCA-Pension-fund-Study-22.08.22-2.pdf</t>
        </is>
      </c>
      <c r="F19" s="2" t="inlineStr">
        <is>
          <t>Southern African pension PE/PD allocation study; BPOPF, GIPF, GEPF coverage</t>
        </is>
      </c>
    </row>
    <row r="20" ht="23.25" customHeight="1" s="16">
      <c r="A20" s="2" t="inlineStr">
        <is>
          <t>FSDEA</t>
        </is>
      </c>
      <c r="B20" s="2" t="inlineStr">
        <is>
          <t>Trade press</t>
        </is>
      </c>
      <c r="C20" s="2" t="inlineStr">
        <is>
          <t>Gemcorp teams with Angola sovereign fund to launch pan-Africa infra vehicle (AltAssets)</t>
        </is>
      </c>
      <c r="D20" s="2" t="inlineStr">
        <is>
          <t>May 2026</t>
        </is>
      </c>
      <c r="E20" s="2" t="inlineStr">
        <is>
          <t>https://www.altassets.net/private-equity-news/by-region/africa-by-region/100206320.html</t>
        </is>
      </c>
      <c r="F20" s="2" t="inlineStr">
        <is>
          <t>FSDEA-Gemcorp pan-African infra fund partnership</t>
        </is>
      </c>
    </row>
    <row r="21" ht="15" customHeight="1" s="16">
      <c r="A21" s="2" t="inlineStr">
        <is>
          <t>FSDEA</t>
        </is>
      </c>
      <c r="B21" s="2" t="inlineStr">
        <is>
          <t>Profile</t>
        </is>
      </c>
      <c r="C21" s="2" t="inlineStr">
        <is>
          <t>FSDEA Fund Profile – Global SWF</t>
        </is>
      </c>
      <c r="D21" s="2" t="inlineStr">
        <is>
          <t>May 2026</t>
        </is>
      </c>
      <c r="E21" s="2" t="inlineStr">
        <is>
          <t>https://globalswf.com/fund/FSDEA</t>
        </is>
      </c>
      <c r="F21" s="2" t="inlineStr">
        <is>
          <t>FSDEA AUM and portfolio</t>
        </is>
      </c>
    </row>
    <row r="22" ht="15" customHeight="1" s="16">
      <c r="A22" s="2" t="inlineStr">
        <is>
          <t>FSDEA</t>
        </is>
      </c>
      <c r="B22" s="2" t="inlineStr">
        <is>
          <t>IFSWF assessment</t>
        </is>
      </c>
      <c r="C22" s="2" t="inlineStr">
        <is>
          <t>FSDEA 2022 – IFSWF Santiago Principles Assessment</t>
        </is>
      </c>
      <c r="D22" s="2" t="inlineStr">
        <is>
          <t>May 2026</t>
        </is>
      </c>
      <c r="E22" s="2" t="inlineStr">
        <is>
          <t>https://ifswf.org/assessment/fsdea-2022</t>
        </is>
      </c>
      <c r="F22" s="2" t="inlineStr">
        <is>
          <t>FSDEA governance, disclosure and investment policy</t>
        </is>
      </c>
    </row>
    <row r="23" ht="23.25" customHeight="1" s="16">
      <c r="A23" s="2" t="inlineStr">
        <is>
          <t>FSDEA</t>
        </is>
      </c>
      <c r="B23" s="2" t="inlineStr">
        <is>
          <t>Trade press</t>
        </is>
      </c>
      <c r="C23" s="2" t="inlineStr">
        <is>
          <t>Angola's SWF sets sights on alternatives (Euromoney)</t>
        </is>
      </c>
      <c r="D23" s="2" t="inlineStr">
        <is>
          <t>May 2026</t>
        </is>
      </c>
      <c r="E23" s="2" t="inlineStr">
        <is>
          <t>https://www.euromoney.com/article/27bjsstsqxhkmh0v9ilmz/banking/angolas-sovereign-wealth-fund-sets-sights-on-alternatives/</t>
        </is>
      </c>
      <c r="F23" s="2" t="inlineStr">
        <is>
          <t>FSDEA reset toward alternative assets</t>
        </is>
      </c>
    </row>
    <row r="24" ht="15" customHeight="1" s="16">
      <c r="A24" s="2" t="inlineStr">
        <is>
          <t>TSFE</t>
        </is>
      </c>
      <c r="B24" s="2" t="inlineStr">
        <is>
          <t>Allocator disclosure</t>
        </is>
      </c>
      <c r="C24" s="2" t="inlineStr">
        <is>
          <t>The Sovereign Fund of Egypt – Portfolio</t>
        </is>
      </c>
      <c r="D24" s="2" t="inlineStr">
        <is>
          <t>May 2026</t>
        </is>
      </c>
      <c r="E24" s="2" t="inlineStr">
        <is>
          <t>https://tsfe.com/press.html</t>
        </is>
      </c>
      <c r="F24" s="2" t="inlineStr">
        <is>
          <t>TSFE press releases and portfolio detail</t>
        </is>
      </c>
    </row>
    <row r="25" ht="15" customHeight="1" s="16">
      <c r="A25" s="2" t="inlineStr">
        <is>
          <t>TSFE</t>
        </is>
      </c>
      <c r="B25" s="2" t="inlineStr">
        <is>
          <t>Allocator disclosure</t>
        </is>
      </c>
      <c r="C25" s="2" t="inlineStr">
        <is>
          <t>TSFE Investment Approach</t>
        </is>
      </c>
      <c r="D25" s="2" t="inlineStr">
        <is>
          <t>May 2026</t>
        </is>
      </c>
      <c r="E25" s="2" t="inlineStr">
        <is>
          <t>https://tsfe.com/investmentApproach.html</t>
        </is>
      </c>
      <c r="F25" s="2" t="inlineStr">
        <is>
          <t>TSFE sub-fund structure and co-investment model</t>
        </is>
      </c>
    </row>
    <row r="26" ht="15" customHeight="1" s="16">
      <c r="A26" s="2" t="inlineStr">
        <is>
          <t>FONSIS</t>
        </is>
      </c>
      <c r="B26" s="2" t="inlineStr">
        <is>
          <t>Press release</t>
        </is>
      </c>
      <c r="C26" s="2" t="inlineStr">
        <is>
          <t>FONSIS launches Oyass Capital, a XOF 50bn fund</t>
        </is>
      </c>
      <c r="D26" s="2" t="inlineStr">
        <is>
          <t>May 2026</t>
        </is>
      </c>
      <c r="E26" s="2" t="inlineStr">
        <is>
          <t>https://www.fonsis.org/en/actualites/le-fonsis-lance-oyass-capital-un-fonds-de-50-milliards/</t>
        </is>
      </c>
      <c r="F26" s="2" t="inlineStr">
        <is>
          <t>FONSIS Oyass Capital launch with SEAF as manager</t>
        </is>
      </c>
    </row>
    <row r="27" ht="23.25" customHeight="1" s="16">
      <c r="A27" s="2" t="inlineStr">
        <is>
          <t>FONSIS</t>
        </is>
      </c>
      <c r="B27" s="2" t="inlineStr">
        <is>
          <t>Trade press</t>
        </is>
      </c>
      <c r="C27" s="2" t="inlineStr">
        <is>
          <t>Development finance frontline: Senegal's Strategic Investments Fund (World Bank)</t>
        </is>
      </c>
      <c r="D27" s="2" t="inlineStr">
        <is>
          <t>May 2026</t>
        </is>
      </c>
      <c r="E27" s="2" t="inlineStr">
        <is>
          <t>https://blogs.worldbank.org/en/psd/development-finance-frontline-senegal-s-strategic-investments-fund</t>
        </is>
      </c>
      <c r="F27" s="2" t="inlineStr">
        <is>
          <t>FONSIS strategic-investment model</t>
        </is>
      </c>
    </row>
    <row r="28" ht="23.25" customHeight="1" s="16">
      <c r="A28" s="2" t="inlineStr">
        <is>
          <t>CDG Morocco</t>
        </is>
      </c>
      <c r="B28" s="2" t="inlineStr">
        <is>
          <t>Allocator disclosure</t>
        </is>
      </c>
      <c r="C28" s="2" t="inlineStr">
        <is>
          <t>CDG – Investment / CDG Invest Growth</t>
        </is>
      </c>
      <c r="D28" s="2" t="inlineStr">
        <is>
          <t>May 2026</t>
        </is>
      </c>
      <c r="E28" s="2" t="inlineStr">
        <is>
          <t>https://www.cdg.ma/en/investment-0</t>
        </is>
      </c>
      <c r="F28" s="2" t="inlineStr">
        <is>
          <t>CDG Invest funds (Fipar-Holding, Nama, CapMezzanine III, InfraMaroc)</t>
        </is>
      </c>
    </row>
    <row r="29" ht="23.25" customHeight="1" s="16">
      <c r="A29" s="2" t="inlineStr">
        <is>
          <t>CDG Morocco</t>
        </is>
      </c>
      <c r="B29" s="2" t="inlineStr">
        <is>
          <t>IFC press release</t>
        </is>
      </c>
      <c r="C29" s="2" t="inlineStr">
        <is>
          <t>IFC, Fipar-Holding, CDG support Retail Holding (Côte d'Ivoire + Morocco) 2024</t>
        </is>
      </c>
      <c r="D29" s="2" t="inlineStr">
        <is>
          <t>May 2026</t>
        </is>
      </c>
      <c r="E29" s="2" t="inlineStr">
        <is>
          <t>https://www.ifc.org/en/pressroom/2024/ifc-fipar-holding-cdg-support-retail-holding-to-expand-food-distribution</t>
        </is>
      </c>
      <c r="F29" s="2" t="inlineStr">
        <is>
          <t>CDG / Fipar-Holding 2024 cross-border investment</t>
        </is>
      </c>
    </row>
    <row r="30" ht="23.25" customHeight="1" s="16">
      <c r="A30" s="2" t="inlineStr">
        <is>
          <t>Mediterrania Capital</t>
        </is>
      </c>
      <c r="B30" s="2" t="inlineStr">
        <is>
          <t>GP press release</t>
        </is>
      </c>
      <c r="C30" s="2" t="inlineStr">
        <is>
          <t>Mediterrania Capital IV receives €20m from CDP Group</t>
        </is>
      </c>
      <c r="D30" s="2" t="inlineStr">
        <is>
          <t>May 2026</t>
        </is>
      </c>
      <c r="E30" s="2" t="inlineStr">
        <is>
          <t>https://www.mcapitalp.com/mediterrania-capital-iv-receives-a-e20-million-commitment-from-cassa-depositi-e-prestiti-s-p-a-cdp-group/</t>
        </is>
      </c>
      <c r="F30" s="2" t="inlineStr">
        <is>
          <t>Mediterrania Capital IV LP composition (CDP, not CDG, but useful for tracking)</t>
        </is>
      </c>
    </row>
    <row r="31" ht="34.5" customHeight="1" s="16">
      <c r="A31" s="2" t="inlineStr">
        <is>
          <t>ARM-Harith</t>
        </is>
      </c>
      <c r="B31" s="2" t="inlineStr">
        <is>
          <t>Press release</t>
        </is>
      </c>
      <c r="C31" s="2" t="inlineStr">
        <is>
          <t>ARM-Harith and FSD Africa Investments £10m commitment to unlock Nigerian pension funds</t>
        </is>
      </c>
      <c r="D31" s="2" t="inlineStr">
        <is>
          <t>May 2026</t>
        </is>
      </c>
      <c r="E31" s="2" t="inlineStr">
        <is>
          <t>https://fsdafrica.org/nairobi-15-april-2025-10am-eat-fsd-africa-investments-fsdai-the-uk-backed-specialist-development-finance-investor-is-investing-gbp-10-million-into-arm-hariths-climate-and-transition-in/</t>
        </is>
      </c>
      <c r="F31" s="2" t="inlineStr">
        <is>
          <t>ARM-Harith ACT Fund; designed to unlock Nigerian pension LPs</t>
        </is>
      </c>
    </row>
    <row r="32" ht="23.25" customHeight="1" s="16">
      <c r="A32" s="2" t="inlineStr">
        <is>
          <t>ARM-Harith</t>
        </is>
      </c>
      <c r="B32" s="2" t="inlineStr">
        <is>
          <t>Trade press</t>
        </is>
      </c>
      <c r="C32" s="2" t="inlineStr">
        <is>
          <t>Nigerian infrastructure investor gets catalytic commitment to unlock pension fund investment (ImpactAlpha)</t>
        </is>
      </c>
      <c r="D32" s="2" t="inlineStr">
        <is>
          <t>May 2026</t>
        </is>
      </c>
      <c r="E32" s="2" t="inlineStr">
        <is>
          <t>https://impactalpha.com/nigerian-infrastructure-investor-gets-catalytic-commitment-to-unlock-pension-fund-investment/</t>
        </is>
      </c>
      <c r="F32" s="2" t="inlineStr">
        <is>
          <t>ARM-Harith ACT Fund structure for pension FX risk mitigation</t>
        </is>
      </c>
    </row>
    <row r="33" ht="15" customHeight="1" s="16">
      <c r="A33" s="2" t="inlineStr">
        <is>
          <t>EPPF</t>
        </is>
      </c>
      <c r="B33" s="2" t="inlineStr">
        <is>
          <t>Allocator disclosure</t>
        </is>
      </c>
      <c r="C33" s="2" t="inlineStr">
        <is>
          <t>EPPF investment strategy – Top1000funds.com profile</t>
        </is>
      </c>
      <c r="D33" s="2" t="inlineStr">
        <is>
          <t>May 2026</t>
        </is>
      </c>
      <c r="E33" s="2" t="inlineStr">
        <is>
          <t>https://www.top1000funds.com/asset_owner/eskom-pension-and-provident-fund-eppf/</t>
        </is>
      </c>
      <c r="F33" s="2" t="inlineStr">
        <is>
          <t>EPPF alts allocation; 10%+ to alternatives, ~4% to PE</t>
        </is>
      </c>
    </row>
    <row r="34" ht="23.25" customHeight="1" s="16">
      <c r="A34" s="2" t="inlineStr">
        <is>
          <t>EPPF</t>
        </is>
      </c>
      <c r="B34" s="2" t="inlineStr">
        <is>
          <t>Trade press</t>
        </is>
      </c>
      <c r="C34" s="2" t="inlineStr">
        <is>
          <t>EPPF builds resilience in governance-focused strategy (Top1000funds)</t>
        </is>
      </c>
      <c r="D34" s="2" t="inlineStr">
        <is>
          <t>May 2026</t>
        </is>
      </c>
      <c r="E34" s="2" t="inlineStr">
        <is>
          <t>https://www.top1000funds.com/2023/08/south-africas-eppf-builds-resilience-in-governance-focused-strategy/</t>
        </is>
      </c>
      <c r="F34" s="2" t="inlineStr">
        <is>
          <t>EPPF strategy direction and PE allocation</t>
        </is>
      </c>
    </row>
    <row r="35" ht="15" customHeight="1" s="16">
      <c r="A35" s="2" t="inlineStr">
        <is>
          <t>SSNIT</t>
        </is>
      </c>
      <c r="B35" s="2" t="inlineStr">
        <is>
          <t>Annual report</t>
        </is>
      </c>
      <c r="C35" s="2" t="inlineStr">
        <is>
          <t>SSNIT 2022 Annual Report</t>
        </is>
      </c>
      <c r="D35" s="2" t="inlineStr">
        <is>
          <t>May 2026</t>
        </is>
      </c>
      <c r="E35" s="2" t="inlineStr">
        <is>
          <t>https://www.ssnit.org.gh/wp-content/uploads/2025/10/Annual-Reportfnal-2022.pdf</t>
        </is>
      </c>
      <c r="F35" s="2" t="inlineStr">
        <is>
          <t>SSNIT portfolio composition; alts share</t>
        </is>
      </c>
    </row>
    <row r="36" ht="15" customHeight="1" s="16">
      <c r="A36" s="2" t="inlineStr">
        <is>
          <t>SSNIT</t>
        </is>
      </c>
      <c r="B36" s="2" t="inlineStr">
        <is>
          <t>Trade press</t>
        </is>
      </c>
      <c r="C36" s="2" t="inlineStr">
        <is>
          <t>SSNIT shifts investment strategy (B&amp;FT)</t>
        </is>
      </c>
      <c r="D36" s="2" t="inlineStr">
        <is>
          <t>May 2026</t>
        </is>
      </c>
      <c r="E36" s="2" t="inlineStr">
        <is>
          <t>https://thebftonline.com/2024/07/04/ssnit-shifts-investment-strategy/</t>
        </is>
      </c>
      <c r="F36" s="2" t="inlineStr">
        <is>
          <t>SSNIT 2024 rebalancing announcement</t>
        </is>
      </c>
    </row>
    <row r="37" ht="23.25" customHeight="1" s="16">
      <c r="A37" s="2" t="inlineStr">
        <is>
          <t>PenCom Nigeria</t>
        </is>
      </c>
      <c r="B37" s="2" t="inlineStr">
        <is>
          <t>Regulator filing</t>
        </is>
      </c>
      <c r="C37" s="2" t="inlineStr">
        <is>
          <t>PenCom Revised Regulation on Investment of Pension Fund Assets</t>
        </is>
      </c>
      <c r="D37" s="2" t="inlineStr">
        <is>
          <t>May 2026</t>
        </is>
      </c>
      <c r="E37" s="2" t="inlineStr">
        <is>
          <t>https://www.pencom.gov.ng/wp-content/uploads/2025/09/The-Revised-Regulation-on-Investment-of-Pension-Fund-Assets.pdf</t>
        </is>
      </c>
      <c r="F37" s="2" t="inlineStr">
        <is>
          <t>Nigerian PFA investment limits including alts</t>
        </is>
      </c>
    </row>
    <row r="38" ht="15" customHeight="1" s="16">
      <c r="A38" s="2" t="inlineStr">
        <is>
          <t>PenCom Nigeria</t>
        </is>
      </c>
      <c r="B38" s="2" t="inlineStr">
        <is>
          <t>Regulator filing</t>
        </is>
      </c>
      <c r="C38" s="2" t="inlineStr">
        <is>
          <t>PenCom Q1 2025 Report</t>
        </is>
      </c>
      <c r="D38" s="2" t="inlineStr">
        <is>
          <t>May 2026</t>
        </is>
      </c>
      <c r="E38" s="2" t="inlineStr">
        <is>
          <t>https://www.pencom.gov.ng/wp-content/uploads/2025/08/Q1-2025-report-FINAL-COPY-1.pdf</t>
        </is>
      </c>
      <c r="F38" s="2" t="inlineStr">
        <is>
          <t>Nigerian PFA aggregate portfolio composition</t>
        </is>
      </c>
    </row>
    <row r="39" ht="15" customHeight="1" s="16">
      <c r="A39" s="2" t="inlineStr">
        <is>
          <t>AVCA</t>
        </is>
      </c>
      <c r="B39" s="2" t="inlineStr">
        <is>
          <t>Industry research</t>
        </is>
      </c>
      <c r="C39" s="2" t="inlineStr">
        <is>
          <t>AVCA Limited Partner Survey</t>
        </is>
      </c>
      <c r="D39" s="2" t="inlineStr">
        <is>
          <t>May 2026</t>
        </is>
      </c>
      <c r="E39" s="2" t="inlineStr">
        <is>
          <t>https://www.avca.africa/data-intelligence/research-publications/avca-limited-partner-survey/</t>
        </is>
      </c>
      <c r="F39" s="2" t="inlineStr">
        <is>
          <t>Industry LP survey aggregates</t>
        </is>
      </c>
    </row>
    <row r="40" ht="23.25" customHeight="1" s="16">
      <c r="A40" s="2" t="inlineStr">
        <is>
          <t>AVCA</t>
        </is>
      </c>
      <c r="B40" s="2" t="inlineStr">
        <is>
          <t>Industry research</t>
        </is>
      </c>
      <c r="C40" s="2" t="inlineStr">
        <is>
          <t>2024 African Private Capital Activity Report</t>
        </is>
      </c>
      <c r="D40" s="2" t="inlineStr">
        <is>
          <t>May 2026</t>
        </is>
      </c>
      <c r="E40" s="2" t="inlineStr">
        <is>
          <t>https://www.avca.africa/data-intelligence/research-publications/2024-african-private-capital-activity-report/</t>
        </is>
      </c>
      <c r="F40" s="2" t="inlineStr">
        <is>
          <t>African PE/VC deal and fundraising data</t>
        </is>
      </c>
    </row>
    <row r="41" ht="15" customHeight="1" s="16">
      <c r="A41" s="2" t="inlineStr">
        <is>
          <t>NSSF Kenya</t>
        </is>
      </c>
      <c r="B41" s="2" t="inlineStr">
        <is>
          <t>Trade press</t>
        </is>
      </c>
      <c r="C41" s="2" t="inlineStr">
        <is>
          <t>Cytonn Retirement Benefits Schemes 2024 Performance Note</t>
        </is>
      </c>
      <c r="D41" s="2" t="inlineStr">
        <is>
          <t>May 2026</t>
        </is>
      </c>
      <c r="E41" s="2" t="inlineStr">
        <is>
          <t>https://cytonn.com/uploads/downloads/retirement-benefits-schemes-performance-note-vf.pdf</t>
        </is>
      </c>
      <c r="F41" s="2" t="inlineStr">
        <is>
          <t>NSSF Kenya asset mix; PE allocation 597.8% YoY growth</t>
        </is>
      </c>
    </row>
    <row r="42" ht="15" customHeight="1" s="16">
      <c r="A42" s="2" t="inlineStr">
        <is>
          <t>RBA Kenya</t>
        </is>
      </c>
      <c r="B42" s="2" t="inlineStr">
        <is>
          <t>Regulator filing</t>
        </is>
      </c>
      <c r="C42" s="2" t="inlineStr">
        <is>
          <t>RBA Industry Brief December 2024</t>
        </is>
      </c>
      <c r="D42" s="2" t="inlineStr">
        <is>
          <t>May 2026</t>
        </is>
      </c>
      <c r="E42" s="2" t="inlineStr">
        <is>
          <t>https://www.rba.go.ke/download/industry-brief-as-at-december-2024/</t>
        </is>
      </c>
      <c r="F42" s="2" t="inlineStr">
        <is>
          <t>Kenya pension industry aggregate composition</t>
        </is>
      </c>
    </row>
    <row r="43" ht="15" customHeight="1" s="16">
      <c r="A43" s="2" t="inlineStr">
        <is>
          <t>RBA Kenya</t>
        </is>
      </c>
      <c r="B43" s="2" t="inlineStr">
        <is>
          <t>Regulator filing</t>
        </is>
      </c>
      <c r="C43" s="2" t="inlineStr">
        <is>
          <t>RBA Retirement Benefits Industry Report June 2024</t>
        </is>
      </c>
      <c r="D43" s="2" t="inlineStr">
        <is>
          <t>May 2026</t>
        </is>
      </c>
      <c r="E43" s="2" t="inlineStr">
        <is>
          <t>https://www.rba.go.ke/download/retirement-benefits-industry-report-june-2024/</t>
        </is>
      </c>
      <c r="F43" s="2" t="inlineStr">
        <is>
          <t>Kenya retirement benefits industry composition</t>
        </is>
      </c>
    </row>
    <row r="44" ht="23.25" customHeight="1" s="16">
      <c r="A44" s="2" t="inlineStr">
        <is>
          <t>RBA Kenya</t>
        </is>
      </c>
      <c r="B44" s="2" t="inlineStr">
        <is>
          <t>Legal analysis</t>
        </is>
      </c>
      <c r="C44" s="2" t="inlineStr">
        <is>
          <t>Oraro &amp; Co. — 'A Hand Full of Aces': PE/VC Investment Options for Kenyan Pension Schemes</t>
        </is>
      </c>
      <c r="D44" s="2" t="inlineStr">
        <is>
          <t>May 2026</t>
        </is>
      </c>
      <c r="E44" s="2" t="inlineStr">
        <is>
          <t>https://www.oraro.co.ke/a-hand-full-of-aces-investment-options-in-private-equity-and-venture-capital-firms-for-pension-schemes-in-kenya/</t>
        </is>
      </c>
      <c r="F44" s="2" t="inlineStr">
        <is>
          <t>Kenyan regulatory framework for pension PE/VC</t>
        </is>
      </c>
    </row>
    <row r="45" ht="23.25" customHeight="1" s="16">
      <c r="A45" s="2" t="inlineStr">
        <is>
          <t>NSSF Kenya</t>
        </is>
      </c>
      <c r="B45" s="2" t="inlineStr">
        <is>
          <t>Trade press</t>
        </is>
      </c>
      <c r="C45" s="2" t="inlineStr">
        <is>
          <t>NSSF targets private equity as it eyes Sh1 trillion in net assets (Breaking Kenya News)</t>
        </is>
      </c>
      <c r="D45" s="2" t="inlineStr">
        <is>
          <t>May 2026</t>
        </is>
      </c>
      <c r="E45" s="2" t="inlineStr">
        <is>
          <t>https://www.breakingkenyanews.com/2026/04/29/nssf-targets-private-equity-as-it-eyes-sh1-trillion-in-net-assets/</t>
        </is>
      </c>
      <c r="F45" s="2" t="inlineStr">
        <is>
          <t>NSSF MD David Koros statements on PE prioritisation</t>
        </is>
      </c>
    </row>
    <row r="46" ht="23.25" customHeight="1" s="16">
      <c r="A46" s="2" t="inlineStr">
        <is>
          <t>POESSA Ethiopia</t>
        </is>
      </c>
      <c r="B46" s="2" t="inlineStr">
        <is>
          <t>Trade press</t>
        </is>
      </c>
      <c r="C46" s="2" t="inlineStr">
        <is>
          <t>The Reporter Ethiopia — Pension Fund Eyes Securities Exchange (POESSA investment clause)</t>
        </is>
      </c>
      <c r="D46" s="2" t="inlineStr">
        <is>
          <t>May 2026</t>
        </is>
      </c>
      <c r="E46" s="2" t="inlineStr">
        <is>
          <t>https://www.thereporterethiopia.com/48983</t>
        </is>
      </c>
      <c r="F46" s="2" t="inlineStr">
        <is>
          <t>POESSA 2022 statutory liberalisation</t>
        </is>
      </c>
    </row>
    <row r="47" ht="15" customHeight="1" s="16">
      <c r="A47" s="2" t="inlineStr">
        <is>
          <t>Ethiopia pension system</t>
        </is>
      </c>
      <c r="B47" s="2" t="inlineStr">
        <is>
          <t>DFI document</t>
        </is>
      </c>
      <c r="C47" s="2" t="inlineStr">
        <is>
          <t>Ethiopia ILO mapping of National Social Protection System</t>
        </is>
      </c>
      <c r="D47" s="2" t="inlineStr">
        <is>
          <t>May 2026</t>
        </is>
      </c>
      <c r="E47" s="2" t="inlineStr">
        <is>
          <t>https://www.ilo.org/media/381431/download</t>
        </is>
      </c>
      <c r="F47" s="2" t="inlineStr">
        <is>
          <t>Ethiopian pension regulatory environment</t>
        </is>
      </c>
    </row>
    <row r="48" ht="34.5" customHeight="1" s="16">
      <c r="A48" s="2" t="inlineStr">
        <is>
          <t>Ethiopia pension system</t>
        </is>
      </c>
      <c r="B48" s="2" t="inlineStr">
        <is>
          <t>DFI document</t>
        </is>
      </c>
      <c r="C48" s="2" t="inlineStr">
        <is>
          <t>Ethiopia: Workshop on actuarial valuation of PSSSA and POESSA</t>
        </is>
      </c>
      <c r="D48" s="2" t="inlineStr">
        <is>
          <t>May 2026</t>
        </is>
      </c>
      <c r="E48" s="2" t="inlineStr">
        <is>
          <t>https://socialprotection-pfm.org/actuarial-valuation-reports-of-the-public-servants-social-security-agency-psssa-and-the-private-organizations-employees-social-security-agency-poessa-of-ethiopia-dissemination-w/</t>
        </is>
      </c>
      <c r="F48" s="2" t="inlineStr">
        <is>
          <t>Recent actuarial dissemination for the two Ethiopian SSAs</t>
        </is>
      </c>
    </row>
    <row r="49" ht="15" customHeight="1" s="16">
      <c r="A49" s="2" t="inlineStr">
        <is>
          <t>PSSSF Tanzania</t>
        </is>
      </c>
      <c r="B49" s="2" t="inlineStr">
        <is>
          <t>Regulator filing</t>
        </is>
      </c>
      <c r="C49" s="2" t="inlineStr">
        <is>
          <t>PSSSF investment guidelines / Annual report</t>
        </is>
      </c>
      <c r="D49" s="2" t="inlineStr">
        <is>
          <t>May 2026</t>
        </is>
      </c>
      <c r="E49" s="2" t="inlineStr">
        <is>
          <t>https://www.psssf.go.tz/uploads/publication/37Publication2023-05-022267.pdf</t>
        </is>
      </c>
      <c r="F49" s="2" t="inlineStr">
        <is>
          <t>PSSSF investment guidelines reference</t>
        </is>
      </c>
    </row>
    <row r="50" ht="15" customHeight="1" s="16">
      <c r="A50" s="2" t="inlineStr">
        <is>
          <t>PSSSF Tanzania</t>
        </is>
      </c>
      <c r="B50" s="2" t="inlineStr">
        <is>
          <t>DFI partnership</t>
        </is>
      </c>
      <c r="C50" s="2" t="inlineStr">
        <is>
          <t>PSSSF Tanzania Agricultural Development Bank partnership</t>
        </is>
      </c>
      <c r="D50" s="2" t="inlineStr">
        <is>
          <t>May 2026</t>
        </is>
      </c>
      <c r="E50" s="2" t="inlineStr">
        <is>
          <t>https://www.tadb.co.tz/en/partners/public-service-social-security-fund-psssf</t>
        </is>
      </c>
      <c r="F50" s="2" t="inlineStr">
        <is>
          <t>PSSSF–TADB direct partnership instead of fund LP</t>
        </is>
      </c>
    </row>
    <row r="51" ht="23.25" customHeight="1" s="16">
      <c r="A51" s="2" t="inlineStr">
        <is>
          <t>NOSI Egypt</t>
        </is>
      </c>
      <c r="B51" s="2" t="inlineStr">
        <is>
          <t>Academic analysis</t>
        </is>
      </c>
      <c r="C51" s="2" t="inlineStr">
        <is>
          <t>Loewe (2024) — Social Security in Egypt: An Analysis and Agenda for Policy Reform (IDOS)</t>
        </is>
      </c>
      <c r="D51" s="2" t="inlineStr">
        <is>
          <t>May 2026</t>
        </is>
      </c>
      <c r="E51" s="2" t="inlineStr">
        <is>
          <t>https://www.idos-research.de/uploads/media/2024.pdf</t>
        </is>
      </c>
      <c r="F51" s="2" t="inlineStr">
        <is>
          <t>Egyptian pension regulatory constraint (1% capital-market cap; surplus-to-NIB rule)</t>
        </is>
      </c>
    </row>
    <row r="52" ht="15" customHeight="1" s="16">
      <c r="A52" s="2" t="inlineStr">
        <is>
          <t>NOSI Egypt</t>
        </is>
      </c>
      <c r="B52" s="2" t="inlineStr">
        <is>
          <t>Industry case study</t>
        </is>
      </c>
      <c r="C52" s="2" t="inlineStr">
        <is>
          <t>IBM NOSI digital transformation case study</t>
        </is>
      </c>
      <c r="D52" s="2" t="inlineStr">
        <is>
          <t>May 2026</t>
        </is>
      </c>
      <c r="E52" s="2" t="inlineStr">
        <is>
          <t>https://www.ibm.com/case-studies/national-organization-for-social-insurance</t>
        </is>
      </c>
      <c r="F52" s="2" t="inlineStr">
        <is>
          <t>NOSI structure and scope</t>
        </is>
      </c>
    </row>
    <row r="53" ht="23.25" customHeight="1" s="16">
      <c r="A53" s="2" t="inlineStr">
        <is>
          <t>South Africa Reg 28</t>
        </is>
      </c>
      <c r="B53" s="2" t="inlineStr">
        <is>
          <t>Regulator filing</t>
        </is>
      </c>
      <c r="C53" s="2" t="inlineStr">
        <is>
          <t>National Treasury — Regulation 28 amendments published 5 July 2022</t>
        </is>
      </c>
      <c r="D53" s="2" t="inlineStr">
        <is>
          <t>May 2026</t>
        </is>
      </c>
      <c r="E53" s="2" t="inlineStr">
        <is>
          <t>https://www.treasury.gov.za/comm_media/press/2022/2022070501%20Published%20Amendments%20to%20Reg%2028.pdf</t>
        </is>
      </c>
      <c r="F53" s="2" t="inlineStr">
        <is>
          <t>Reg 28 PE cap raised from 10% to 15% effective Jan 2023</t>
        </is>
      </c>
    </row>
    <row r="54" ht="15" customHeight="1" s="16">
      <c r="A54" s="2" t="inlineStr">
        <is>
          <t>South Africa Reg 28</t>
        </is>
      </c>
      <c r="B54" s="2" t="inlineStr">
        <is>
          <t>Trade press</t>
        </is>
      </c>
      <c r="C54" s="2" t="inlineStr">
        <is>
          <t>RMB — Reg 28 amendments offer clarity and regulatory certainty</t>
        </is>
      </c>
      <c r="D54" s="2" t="inlineStr">
        <is>
          <t>May 2026</t>
        </is>
      </c>
      <c r="E54" s="2" t="inlineStr">
        <is>
          <t>https://www.rmb.co.za/news/reg-28-amendments-offers-clarity-and-regulatory-certainty</t>
        </is>
      </c>
      <c r="F54" s="2" t="inlineStr">
        <is>
          <t>Industry interpretation of Reg 28 changes</t>
        </is>
      </c>
    </row>
    <row r="55" ht="15" customHeight="1" s="16">
      <c r="A55" s="2" t="inlineStr">
        <is>
          <t>South Africa Reg 28</t>
        </is>
      </c>
      <c r="B55" s="2" t="inlineStr">
        <is>
          <t>Trade press</t>
        </is>
      </c>
      <c r="C55" s="2" t="inlineStr">
        <is>
          <t>Glacier Insights — Shedding light on Regulation 28 amendments</t>
        </is>
      </c>
      <c r="D55" s="2" t="inlineStr">
        <is>
          <t>May 2026</t>
        </is>
      </c>
      <c r="E55" s="2" t="inlineStr">
        <is>
          <t>https://www.glacierinsights.co.za/blog/articles/regulation-28-amendments</t>
        </is>
      </c>
      <c r="F55" s="2" t="inlineStr">
        <is>
          <t>Detailed Reg 28 breakdown</t>
        </is>
      </c>
    </row>
    <row r="56" ht="23.25" customHeight="1" s="16">
      <c r="A56" s="2" t="inlineStr">
        <is>
          <t>PenCom Nigeria</t>
        </is>
      </c>
      <c r="B56" s="2" t="inlineStr">
        <is>
          <t>Regulator filing</t>
        </is>
      </c>
      <c r="C56" s="2" t="inlineStr">
        <is>
          <t>PenCom 2019 Regulation on Investment of Pension Fund Assets (predecessor)</t>
        </is>
      </c>
      <c r="D56" s="2" t="inlineStr">
        <is>
          <t>May 2026</t>
        </is>
      </c>
      <c r="E56" s="2" t="inlineStr">
        <is>
          <t>https://www.pencom.gov.ng/wp-content/uploads/2019/01/AMENDED-INVESTMENT-REGULATION-FEBRUARY-2019-.pdf</t>
        </is>
      </c>
      <c r="F56" s="2" t="inlineStr">
        <is>
          <t>Pre-2025 PenCom regulation</t>
        </is>
      </c>
    </row>
    <row r="57" ht="23.25" customHeight="1" s="16">
      <c r="A57" s="2" t="inlineStr">
        <is>
          <t>PenCom Nigeria</t>
        </is>
      </c>
      <c r="B57" s="2" t="inlineStr">
        <is>
          <t>Trade press</t>
        </is>
      </c>
      <c r="C57" s="2" t="inlineStr">
        <is>
          <t>Nigeria pension rules unlock infrastructure and private equity (TheCondia, Aug 2025)</t>
        </is>
      </c>
      <c r="D57" s="2" t="inlineStr">
        <is>
          <t>May 2026</t>
        </is>
      </c>
      <c r="E57" s="2" t="inlineStr">
        <is>
          <t>https://thecondia.com/nigeria-pension-rules-private-equity/</t>
        </is>
      </c>
      <c r="F57" s="2" t="inlineStr">
        <is>
          <t>Coverage of PenCom 2025 revision</t>
        </is>
      </c>
    </row>
    <row r="58" ht="23.25" customHeight="1" s="16">
      <c r="A58" s="2" t="inlineStr">
        <is>
          <t>PenCom Nigeria</t>
        </is>
      </c>
      <c r="B58" s="2" t="inlineStr">
        <is>
          <t>Trade press</t>
        </is>
      </c>
      <c r="C58" s="2" t="inlineStr">
        <is>
          <t>Nairametrics — PenCom raises equity investment limits Feb 2026 addendum</t>
        </is>
      </c>
      <c r="D58" s="2" t="inlineStr">
        <is>
          <t>May 2026</t>
        </is>
      </c>
      <c r="E58" s="2" t="inlineStr">
        <is>
          <t>http://nairametrics.com/2026/02/10/pencom-raises-equity-investment-limits-for-rsa-funds-to-ease-liquidity-pressure/</t>
        </is>
      </c>
      <c r="F58" s="2" t="inlineStr">
        <is>
          <t>PenCom Feb 2026 addendum to investment regulation</t>
        </is>
      </c>
    </row>
    <row r="59" ht="23.25" customHeight="1" s="16">
      <c r="A59" s="2" t="inlineStr">
        <is>
          <t>URBRA Uganda</t>
        </is>
      </c>
      <c r="B59" s="2" t="inlineStr">
        <is>
          <t>Regulator filing</t>
        </is>
      </c>
      <c r="C59" s="2" t="inlineStr">
        <is>
          <t>URBRA Investment Trends in Uganda Retirement Benefits Sector (Aug 2025)</t>
        </is>
      </c>
      <c r="D59" s="2" t="inlineStr">
        <is>
          <t>May 2026</t>
        </is>
      </c>
      <c r="E59" s="2" t="inlineStr">
        <is>
          <t>https://urbra.go.ug/2025/08/11/balancing-risk-and-returns-investment-trends-in-the-uganda-retirement-benefits-sector/</t>
        </is>
      </c>
      <c r="F59" s="2" t="inlineStr">
        <is>
          <t>URBRA investment guidelines and PE 15% cap in EAC</t>
        </is>
      </c>
    </row>
    <row r="60" ht="23.25" customHeight="1" s="16">
      <c r="A60" s="2" t="inlineStr">
        <is>
          <t>URBRA Uganda</t>
        </is>
      </c>
      <c r="B60" s="2" t="inlineStr">
        <is>
          <t>Regulator filing</t>
        </is>
      </c>
      <c r="C60" s="2" t="inlineStr">
        <is>
          <t>URBRA — record growth UGX30 trillion (Mar 2026)</t>
        </is>
      </c>
      <c r="D60" s="2" t="inlineStr">
        <is>
          <t>May 2026</t>
        </is>
      </c>
      <c r="E60" s="2" t="inlineStr">
        <is>
          <t>https://urbra.go.ug/2026/03/10/record-growth-sustainability-challenge-ugandas-retirement-savings-hit-ugx30-trillion/</t>
        </is>
      </c>
      <c r="F60" s="2" t="inlineStr">
        <is>
          <t>Uganda retirement assets reached UGX 30tn</t>
        </is>
      </c>
    </row>
    <row r="61" ht="15" customHeight="1" s="16">
      <c r="A61" s="2" t="inlineStr">
        <is>
          <t>URBRA Uganda</t>
        </is>
      </c>
      <c r="B61" s="2" t="inlineStr">
        <is>
          <t>Regulator filing</t>
        </is>
      </c>
      <c r="C61" s="2" t="inlineStr">
        <is>
          <t>URBRA Regulations page</t>
        </is>
      </c>
      <c r="D61" s="2" t="inlineStr">
        <is>
          <t>May 2026</t>
        </is>
      </c>
      <c r="E61" s="2" t="inlineStr">
        <is>
          <t>https://urbra.go.ug/regulations/</t>
        </is>
      </c>
      <c r="F61" s="2" t="inlineStr">
        <is>
          <t>URBRA regulatory framework</t>
        </is>
      </c>
    </row>
    <row r="62" ht="15" customHeight="1" s="16">
      <c r="A62" s="2" t="inlineStr">
        <is>
          <t>NAMFISA / Reg 28</t>
        </is>
      </c>
      <c r="B62" s="2" t="inlineStr">
        <is>
          <t>Regulator filing</t>
        </is>
      </c>
      <c r="C62" s="2" t="inlineStr">
        <is>
          <t>Government Gazette Namibia 6697 — Pension Funds Act regulations</t>
        </is>
      </c>
      <c r="D62" s="2" t="inlineStr">
        <is>
          <t>May 2026</t>
        </is>
      </c>
      <c r="E62" s="2" t="inlineStr">
        <is>
          <t>https://www.lac.org.na/laws/2018/6697.pdf</t>
        </is>
      </c>
      <c r="F62" s="2" t="inlineStr">
        <is>
          <t>Namibian Reg 28/29 statutory text</t>
        </is>
      </c>
    </row>
    <row r="63" ht="23.25" customHeight="1" s="16">
      <c r="A63" s="2" t="inlineStr">
        <is>
          <t>NAMFISA / Reg 29</t>
        </is>
      </c>
      <c r="B63" s="2" t="inlineStr">
        <is>
          <t>Allocator commentary</t>
        </is>
      </c>
      <c r="C63" s="2" t="inlineStr">
        <is>
          <t>Old Mutual Namibia — Understanding the Context of Pensions in Namibia in 2023 Part 2</t>
        </is>
      </c>
      <c r="D63" s="2" t="inlineStr">
        <is>
          <t>May 2026</t>
        </is>
      </c>
      <c r="E63" s="2" t="inlineStr">
        <is>
          <t>https://www.oldmutual.com.na/about-old-mutual/news/understanding-the-context-of-pensions-in-namibia-part-2/</t>
        </is>
      </c>
      <c r="F63" s="2" t="inlineStr">
        <is>
          <t>Interpretation of Reg 28: 35% min domestic; 3.5% max via SPV</t>
        </is>
      </c>
    </row>
    <row r="64" ht="23.25" customHeight="1" s="16">
      <c r="A64" s="2" t="inlineStr">
        <is>
          <t>NAMFISA / Reg 29</t>
        </is>
      </c>
      <c r="B64" s="2" t="inlineStr">
        <is>
          <t>DFI document</t>
        </is>
      </c>
      <c r="C64" s="2" t="inlineStr">
        <is>
          <t>World Bank — Leveraging Pension Fund Investment for Domestic Development: Namibia's Regulation 29 Approach</t>
        </is>
      </c>
      <c r="D64" s="2" t="inlineStr">
        <is>
          <t>May 2026</t>
        </is>
      </c>
      <c r="E64" s="2" t="inlineStr">
        <is>
          <t>https://documents1.worldbank.org/curated/en/125241594367606090/pdf/Leveraging-Pension-Fund-Investment-for-Domestic-Development-Namibia-s-Regulation-29-Approach.pdf</t>
        </is>
      </c>
      <c r="F64" s="2" t="inlineStr">
        <is>
          <t>Detailed analysis of Namibia's mandated-unlisted regime</t>
        </is>
      </c>
    </row>
    <row r="65" ht="23.25" customHeight="1" s="16">
      <c r="A65" s="2" t="inlineStr">
        <is>
          <t>NPRA Ghana</t>
        </is>
      </c>
      <c r="B65" s="2" t="inlineStr">
        <is>
          <t>Regulator filing</t>
        </is>
      </c>
      <c r="C65" s="2" t="inlineStr">
        <is>
          <t>NPRA Investment Guidelines for Tiers 2 and 3 (Gazette 127 of 2021)</t>
        </is>
      </c>
      <c r="D65" s="2" t="inlineStr">
        <is>
          <t>May 2026</t>
        </is>
      </c>
      <c r="E65" s="2" t="inlineStr">
        <is>
          <t>https://npra.gov.gh/assets/documents/New-investment-Guidelines-Extra-O-GAZETTE-NO.-127-14-09-2021.pdf</t>
        </is>
      </c>
      <c r="F65" s="2" t="inlineStr">
        <is>
          <t>Ghanaian pension regulatory framework; 10% alts sub-asset cap</t>
        </is>
      </c>
    </row>
    <row r="66" ht="23.25" customHeight="1" s="16">
      <c r="A66" s="2" t="inlineStr">
        <is>
          <t>NPRA Ghana</t>
        </is>
      </c>
      <c r="B66" s="2" t="inlineStr">
        <is>
          <t>Industry analysis</t>
        </is>
      </c>
      <c r="C66" s="2" t="inlineStr">
        <is>
          <t>GhanaWeb — NPRA investment guidelines and true diversification in Ghana's pension system</t>
        </is>
      </c>
      <c r="D66" s="2" t="inlineStr">
        <is>
          <t>May 2026</t>
        </is>
      </c>
      <c r="E66" s="2" t="inlineStr">
        <is>
          <t>https://www.ghanaweb.com/GhanaHomePage/features/NPRA-investment-guidelines-and-question-of-true-diversification-in-Ghana-s-pension-system-2021403</t>
        </is>
      </c>
      <c r="F66" s="2" t="inlineStr">
        <is>
          <t>Critique of Ghana pension investment guidelines</t>
        </is>
      </c>
    </row>
    <row r="67" ht="23.25" customHeight="1" s="16">
      <c r="A67" s="2" t="inlineStr">
        <is>
          <t>NBFIRA Botswana</t>
        </is>
      </c>
      <c r="B67" s="2" t="inlineStr">
        <is>
          <t>Regulator filing</t>
        </is>
      </c>
      <c r="C67" s="2" t="inlineStr">
        <is>
          <t>NBFIRA PFR2 — Pension Fund Investment Rules 2023</t>
        </is>
      </c>
      <c r="D67" s="2" t="inlineStr">
        <is>
          <t>May 2026</t>
        </is>
      </c>
      <c r="E67" s="2" t="inlineStr">
        <is>
          <t>https://www.nbfira.org.bw/wp-content/uploads/2025/12/pfr2-pension-fund-investment-rules-2023.pdf</t>
        </is>
      </c>
      <c r="F67" s="2" t="inlineStr">
        <is>
          <t>Botswana PFR2: 15% VC/PE, 50% minimum domestic by Dec 2027</t>
        </is>
      </c>
    </row>
    <row r="68" ht="23.25" customHeight="1" s="16">
      <c r="A68" s="2" t="inlineStr">
        <is>
          <t>NBFIRA Botswana</t>
        </is>
      </c>
      <c r="B68" s="2" t="inlineStr">
        <is>
          <t>DFI document</t>
        </is>
      </c>
      <c r="C68" s="2" t="inlineStr">
        <is>
          <t>World Bank Botswana Financial Markets Diagnostic 2025</t>
        </is>
      </c>
      <c r="D68" s="2" t="inlineStr">
        <is>
          <t>May 2026</t>
        </is>
      </c>
      <c r="E68" s="2" t="inlineStr">
        <is>
          <t>https://documents1.worldbank.org/curated/en/099060525055531820/pdf/P172044-49042033-5f47-4802-91a1-c2307e59bb84.pdf</t>
        </is>
      </c>
      <c r="F68" s="2" t="inlineStr">
        <is>
          <t>Botswana pension and capital markets context</t>
        </is>
      </c>
    </row>
    <row r="69" ht="15" customHeight="1" s="16">
      <c r="A69" s="2" t="inlineStr">
        <is>
          <t>NBFIRA Botswana</t>
        </is>
      </c>
      <c r="B69" s="2" t="inlineStr">
        <is>
          <t>Trade press</t>
        </is>
      </c>
      <c r="C69" s="2" t="inlineStr">
        <is>
          <t>RMB — Shaping the Future of Pensions in Botswana</t>
        </is>
      </c>
      <c r="D69" s="2" t="inlineStr">
        <is>
          <t>May 2026</t>
        </is>
      </c>
      <c r="E69" s="2" t="inlineStr">
        <is>
          <t>https://www.rmb.co.bw/news/shaping-the-future-of-pensions-in-botswana-through-strategic-action</t>
        </is>
      </c>
      <c r="F69" s="2" t="inlineStr">
        <is>
          <t>Industry view on Botswana pension reforms</t>
        </is>
      </c>
    </row>
    <row r="70" ht="15" customHeight="1" s="16">
      <c r="A70" s="2" t="inlineStr">
        <is>
          <t>ACAPS Morocco</t>
        </is>
      </c>
      <c r="B70" s="2" t="inlineStr">
        <is>
          <t>Regulator filing</t>
        </is>
      </c>
      <c r="C70" s="2" t="inlineStr">
        <is>
          <t>ACAPS — Complementary Pension Schemes in Morocco</t>
        </is>
      </c>
      <c r="D70" s="2" t="inlineStr">
        <is>
          <t>May 2026</t>
        </is>
      </c>
      <c r="E70" s="2" t="inlineStr">
        <is>
          <t>https://www.acaps.ma/en/grand-public/pensions/complementary-pension-schemes</t>
        </is>
      </c>
      <c r="F70" s="2" t="inlineStr">
        <is>
          <t>Moroccan pension regulatory framework</t>
        </is>
      </c>
    </row>
    <row r="71" ht="15" customHeight="1" s="16">
      <c r="A71" s="2" t="inlineStr">
        <is>
          <t>ACAPS Morocco</t>
        </is>
      </c>
      <c r="B71" s="2" t="inlineStr">
        <is>
          <t>Regulator filing</t>
        </is>
      </c>
      <c r="C71" s="2" t="inlineStr">
        <is>
          <t>ACAPS — Regulation &amp; Supervision of Insurance and Social Welfare</t>
        </is>
      </c>
      <c r="D71" s="2" t="inlineStr">
        <is>
          <t>May 2026</t>
        </is>
      </c>
      <c r="E71" s="2" t="inlineStr">
        <is>
          <t>https://www.acaps.ma/en/the-authority/discover-the-authority/supervised-sectors</t>
        </is>
      </c>
      <c r="F71" s="2" t="inlineStr">
        <is>
          <t>ACAPS supervisory scope</t>
        </is>
      </c>
    </row>
    <row r="72" ht="23.25" customHeight="1" s="16">
      <c r="A72" s="2" t="inlineStr">
        <is>
          <t>AVCA</t>
        </is>
      </c>
      <c r="B72" s="2" t="inlineStr">
        <is>
          <t>Industry research</t>
        </is>
      </c>
      <c r="C72" s="2" t="inlineStr">
        <is>
          <t>AVCA Annual Press Release — African private capital fundraising doubles to $4bn in 2024</t>
        </is>
      </c>
      <c r="D72" s="2" t="inlineStr">
        <is>
          <t>May 2026</t>
        </is>
      </c>
      <c r="E72" s="2" t="inlineStr">
        <is>
          <t>https://www.avca.africa/news-insights/afri-spective-blog/african-private-capital-fundraising-doubles-to-us-4bn-in-2024-amid-resilient-deal-activity-and-increased-exits/</t>
        </is>
      </c>
      <c r="F72" s="2" t="inlineStr">
        <is>
          <t>AVCA 2024 aggregate; African investor share 14%→19%, $171m→$639m</t>
        </is>
      </c>
    </row>
    <row r="73" ht="23.25" customHeight="1" s="16">
      <c r="A73" s="2" t="inlineStr">
        <is>
          <t>AVCA</t>
        </is>
      </c>
      <c r="B73" s="2" t="inlineStr">
        <is>
          <t>Industry research</t>
        </is>
      </c>
      <c r="C73" s="2" t="inlineStr">
        <is>
          <t>AVCA — Local private capital investors taking the lead in Africa</t>
        </is>
      </c>
      <c r="D73" s="2" t="inlineStr">
        <is>
          <t>May 2026</t>
        </is>
      </c>
      <c r="E73" s="2" t="inlineStr">
        <is>
          <t>https://www.africanlawbusiness.com/expert-views/local-private-capital-investors-taking-the-lead-in-africa/</t>
        </is>
      </c>
      <c r="F73" s="2" t="inlineStr">
        <is>
          <t>Aggregate trend analysis</t>
        </is>
      </c>
    </row>
    <row r="74" ht="15" customHeight="1" s="16">
      <c r="A74" s="2" t="inlineStr">
        <is>
          <t>AVCA</t>
        </is>
      </c>
      <c r="B74" s="2" t="inlineStr">
        <is>
          <t>Conference materials</t>
        </is>
      </c>
      <c r="C74" s="2" t="inlineStr">
        <is>
          <t>CrossBoundary — Key insights from AVCA Conference 2025</t>
        </is>
      </c>
      <c r="D74" s="2" t="inlineStr">
        <is>
          <t>May 2026</t>
        </is>
      </c>
      <c r="E74" s="2" t="inlineStr">
        <is>
          <t>https://crossboundary.com/african-private-equity-trends-avca-conference-2025/</t>
        </is>
      </c>
      <c r="F74" s="2" t="inlineStr">
        <is>
          <t>Industry sentiment on African LP participation</t>
        </is>
      </c>
    </row>
    <row r="75" ht="15" customHeight="1" s="16">
      <c r="A75" s="2" t="inlineStr">
        <is>
          <t>NSSF Uganda</t>
        </is>
      </c>
      <c r="B75" s="2" t="inlineStr">
        <is>
          <t>Allocator annual report</t>
        </is>
      </c>
      <c r="C75" s="2" t="inlineStr">
        <is>
          <t>NSSF Uganda 2024 Annual Integrated Report</t>
        </is>
      </c>
      <c r="D75" s="2" t="inlineStr">
        <is>
          <t>May 2026</t>
        </is>
      </c>
      <c r="E75" s="2" t="inlineStr">
        <is>
          <t>https://www.nssfug.org/site/assets/files/35408/nssf-ir-2024-final-1.pdf</t>
        </is>
      </c>
      <c r="F75" s="2" t="inlineStr">
        <is>
          <t>NSSF Uganda 80%/13.3%/6.2% strategic asset allocation</t>
        </is>
      </c>
    </row>
    <row r="76" ht="34.5" customHeight="1" s="16">
      <c r="A76" s="2" t="inlineStr">
        <is>
          <t>Axis Pension Trust</t>
        </is>
      </c>
      <c r="B76" s="2" t="inlineStr">
        <is>
          <t>Press release</t>
        </is>
      </c>
      <c r="C76" s="2" t="inlineStr">
        <is>
          <t>BII — GIP welcomes Norfund and Axis Pension Trustees as new investors (April 2026)</t>
        </is>
      </c>
      <c r="D76" s="2" t="inlineStr">
        <is>
          <t>May 2026</t>
        </is>
      </c>
      <c r="E76" s="2" t="inlineStr">
        <is>
          <t>https://www.bii.co.uk/en/news-insight/news/growth-investment-partners-welcomes-norfund-and-axis-pension-trustees-as-new-investors-strengthening-capital-base-to-scale-support-for-ghanaian-smes/</t>
        </is>
      </c>
      <c r="F76" s="2" t="inlineStr">
        <is>
          <t>Axis Pension Trust USD 5m commitment to BII's GIP platform</t>
        </is>
      </c>
    </row>
    <row r="77" ht="23.25" customHeight="1" s="16">
      <c r="A77" s="2" t="inlineStr">
        <is>
          <t>Axis Pension Trust</t>
        </is>
      </c>
      <c r="B77" s="2" t="inlineStr">
        <is>
          <t>Trade press</t>
        </is>
      </c>
      <c r="C77" s="2" t="inlineStr">
        <is>
          <t>Ecofin Agency — Ghanaian Pension Money Quietly Walks Into SME Lending (April 2026)</t>
        </is>
      </c>
      <c r="D77" s="2" t="inlineStr">
        <is>
          <t>May 2026</t>
        </is>
      </c>
      <c r="E77" s="2" t="inlineStr">
        <is>
          <t>https://www.ecofinagency.com/news-finances/2304-54954-ghanaian-pension-money-quietly-walks-into-sme-lending-norfund-and-axis-pension-trust-commit-20m-to-bii-backed-gip</t>
        </is>
      </c>
      <c r="F77" s="2" t="inlineStr">
        <is>
          <t>Coverage of Axis–Norfund commitment to GIP; first Ghanaian pension capital under 5% alts rule</t>
        </is>
      </c>
    </row>
    <row r="78" ht="23.25" customHeight="1" s="16">
      <c r="A78" s="2" t="inlineStr">
        <is>
          <t>Axis Pension Trust</t>
        </is>
      </c>
      <c r="B78" s="2" t="inlineStr">
        <is>
          <t>Trade press</t>
        </is>
      </c>
      <c r="C78" s="2" t="inlineStr">
        <is>
          <t>CNBC Africa — Axis Pension Trust, Norfund commit $20mn to GIP for SME support</t>
        </is>
      </c>
      <c r="D78" s="2" t="inlineStr">
        <is>
          <t>May 2026</t>
        </is>
      </c>
      <c r="E78" s="2" t="inlineStr">
        <is>
          <t>https://www.cnbcafrica.com/media/7775656909790/axis-pension-trust-norfund-commit-20mn-to-gip-for-sme-support</t>
        </is>
      </c>
      <c r="F78" s="2" t="inlineStr">
        <is>
          <t>Joint USD 20m commitment headline detail</t>
        </is>
      </c>
    </row>
    <row r="79" ht="23.25" customHeight="1" s="16">
      <c r="A79" s="2" t="inlineStr">
        <is>
          <t>Axis Pension Trust</t>
        </is>
      </c>
      <c r="B79" s="2" t="inlineStr">
        <is>
          <t>Trade press</t>
        </is>
      </c>
      <c r="C79" s="2" t="inlineStr">
        <is>
          <t>B&amp;FT — GIP welcomes Norfund, Axis Pension Trustees as new investors (8 April 2026)</t>
        </is>
      </c>
      <c r="D79" s="2" t="inlineStr">
        <is>
          <t>May 2026</t>
        </is>
      </c>
      <c r="E79" s="2" t="inlineStr">
        <is>
          <t>https://thebftonline.com/2026/04/08/gip-welcomes-norfund-axis-pension-trustees-as-new-investors/</t>
        </is>
      </c>
      <c r="F79" s="2" t="inlineStr">
        <is>
          <t>Ghana media coverage</t>
        </is>
      </c>
    </row>
    <row r="80" ht="23.25" customHeight="1" s="16">
      <c r="A80" s="2" t="inlineStr">
        <is>
          <t>Axis Pension Trust</t>
        </is>
      </c>
      <c r="B80" s="2" t="inlineStr">
        <is>
          <t>Trade press</t>
        </is>
      </c>
      <c r="C80" s="2" t="inlineStr">
        <is>
          <t>Africa Private Equity News — Growth Investment Partners Ghana adds new investors</t>
        </is>
      </c>
      <c r="D80" s="2" t="inlineStr">
        <is>
          <t>May 2026</t>
        </is>
      </c>
      <c r="E80" s="2" t="inlineStr">
        <is>
          <t>https://www.africaprivateequitynews.com/p/growth-investment-partners-ghana-4ec</t>
        </is>
      </c>
      <c r="F80" s="2" t="inlineStr">
        <is>
          <t>Industry coverage</t>
        </is>
      </c>
    </row>
    <row r="81" ht="23.25" customHeight="1" s="16">
      <c r="A81" s="2" t="inlineStr">
        <is>
          <t>Ci Gaba Fund of Funds</t>
        </is>
      </c>
      <c r="B81" s="2" t="inlineStr">
        <is>
          <t>Trade press</t>
        </is>
      </c>
      <c r="C81" s="2" t="inlineStr">
        <is>
          <t>WeeTracker — Ghana's Ci Gaba Fund Hits USD 35m First Close to Channel Pension Funds into Startups (March 2026)</t>
        </is>
      </c>
      <c r="D81" s="2" t="inlineStr">
        <is>
          <t>May 2026</t>
        </is>
      </c>
      <c r="E81" s="2" t="inlineStr">
        <is>
          <t>https://weetracker.com/2026/03/30/ci-gaba-fund-of-funds-ghana-first-close-pension-capital/</t>
        </is>
      </c>
      <c r="F81" s="2" t="inlineStr">
        <is>
          <t>Ci Gaba FoF first close; LP composition incl. Axis, Enterprise, Stanbic IMS, CAL AM, FSDAi, Small Foundation, FMO</t>
        </is>
      </c>
    </row>
    <row r="82" ht="15" customHeight="1" s="16">
      <c r="A82" s="2" t="inlineStr">
        <is>
          <t>Savannah Impact Advisory</t>
        </is>
      </c>
      <c r="B82" s="2" t="inlineStr">
        <is>
          <t>Manager website</t>
        </is>
      </c>
      <c r="C82" s="2" t="inlineStr">
        <is>
          <t>Savannah Impact Advisory (Manager of Ci Gaba FoF)</t>
        </is>
      </c>
      <c r="D82" s="2" t="inlineStr">
        <is>
          <t>May 2026</t>
        </is>
      </c>
      <c r="E82" s="2" t="inlineStr">
        <is>
          <t>https://siaghana.com/our-about/</t>
        </is>
      </c>
      <c r="F82" s="2" t="inlineStr">
        <is>
          <t>Ci Gaba FoF manager profile</t>
        </is>
      </c>
    </row>
    <row r="83" ht="23.25" customHeight="1" s="16">
      <c r="A83" s="2" t="inlineStr">
        <is>
          <t>AFC</t>
        </is>
      </c>
      <c r="B83" s="2" t="inlineStr">
        <is>
          <t>Press release</t>
        </is>
      </c>
      <c r="C83" s="2" t="inlineStr">
        <is>
          <t>AFC — Cameroon's CNPS joins AFC as Shareholder</t>
        </is>
      </c>
      <c r="D83" s="2" t="inlineStr">
        <is>
          <t>May 2026</t>
        </is>
      </c>
      <c r="E83" s="2" t="inlineStr">
        <is>
          <t>https://www.businessincameroon.com/finance/2906-13233-cameroons-national-social-security-fund-cnps-joins-africa-finance-corporation-afc-as-shareholder</t>
        </is>
      </c>
      <c r="F83" s="2" t="inlineStr">
        <is>
          <t>CNPS Cameroon shareholder accession</t>
        </is>
      </c>
    </row>
    <row r="84" ht="23.25" customHeight="1" s="16">
      <c r="A84" s="2" t="inlineStr">
        <is>
          <t>AFC</t>
        </is>
      </c>
      <c r="B84" s="2" t="inlineStr">
        <is>
          <t>Press release</t>
        </is>
      </c>
      <c r="C84" s="2" t="inlineStr">
        <is>
          <t>AFC — Equity from Ghana, Sierra Leone and Seychelles</t>
        </is>
      </c>
      <c r="D84" s="2" t="inlineStr">
        <is>
          <t>May 2026</t>
        </is>
      </c>
      <c r="E84" s="2" t="inlineStr">
        <is>
          <t>https://www.africafc.org/news-and-insights/news/africa-finance-corporation-attracts-new-equity-from-ghana-sierra-leone-and-seychelles</t>
        </is>
      </c>
      <c r="F84" s="2" t="inlineStr">
        <is>
          <t>GIIF Ghana, Sierra Leone govt, Seychelles Pension Fund — USD 35.5m group commitment</t>
        </is>
      </c>
    </row>
    <row r="85" ht="23.25" customHeight="1" s="16">
      <c r="A85" s="2" t="inlineStr">
        <is>
          <t>AFC</t>
        </is>
      </c>
      <c r="B85" s="2" t="inlineStr">
        <is>
          <t>Press release</t>
        </is>
      </c>
      <c r="C85" s="2" t="inlineStr">
        <is>
          <t>AFC — Diversifies shareholders with Côte d'Ivoire, Mauritius and AfricaRe</t>
        </is>
      </c>
      <c r="D85" s="2" t="inlineStr">
        <is>
          <t>May 2026</t>
        </is>
      </c>
      <c r="E85" s="2" t="inlineStr">
        <is>
          <t>https://www.africafc.org/news-and-insights/news/africa-finance-corporation-diversifies-shareholders-with-equity-from-c%C3%B4te-divoire-mauritius-and-africare</t>
        </is>
      </c>
      <c r="F85" s="2" t="inlineStr">
        <is>
          <t>Côte d'Ivoire, Mauritius NPF/NSF, Africa Re</t>
        </is>
      </c>
    </row>
    <row r="86" ht="23.25" customHeight="1" s="16">
      <c r="A86" s="2" t="inlineStr">
        <is>
          <t>AFC</t>
        </is>
      </c>
      <c r="B86" s="2" t="inlineStr">
        <is>
          <t>Press release</t>
        </is>
      </c>
      <c r="C86" s="2" t="inlineStr">
        <is>
          <t>AFC — Egypt becomes first North African shareholder</t>
        </is>
      </c>
      <c r="D86" s="2" t="inlineStr">
        <is>
          <t>May 2026</t>
        </is>
      </c>
      <c r="E86" s="2" t="inlineStr">
        <is>
          <t>https://www.africafc.org/news-and-insights/news/egypt-becomes-first-north-african-shareholder-in-africa-finance-corporation</t>
        </is>
      </c>
      <c r="F86" s="2" t="inlineStr">
        <is>
          <t>Egypt government AFC accession (2024)</t>
        </is>
      </c>
    </row>
    <row r="87" ht="34.5" customHeight="1" s="16">
      <c r="A87" s="2" t="inlineStr">
        <is>
          <t>AFC</t>
        </is>
      </c>
      <c r="B87" s="2" t="inlineStr">
        <is>
          <t>Press release</t>
        </is>
      </c>
      <c r="C87" s="2" t="inlineStr">
        <is>
          <t>AFC — DRC's Rawbank shareholder addition</t>
        </is>
      </c>
      <c r="D87" s="2" t="inlineStr">
        <is>
          <t>May 2026</t>
        </is>
      </c>
      <c r="E87" s="2" t="inlineStr">
        <is>
          <t>https://africafinancecorporation.africa-newsroom.com/press/africa-finance-corporation-afc-further-diversifies-shareholders-with-new-equity-from-democratic-republic-of-congos-drcs-rawbank?lang=en</t>
        </is>
      </c>
      <c r="F87" s="2" t="inlineStr">
        <is>
          <t>Rawbank DRC AFC shareholding</t>
        </is>
      </c>
    </row>
    <row r="88" ht="15" customHeight="1" s="16">
      <c r="A88" s="2" t="inlineStr">
        <is>
          <t>AFC</t>
        </is>
      </c>
      <c r="B88" s="2" t="inlineStr">
        <is>
          <t>Allocator disclosure</t>
        </is>
      </c>
      <c r="C88" s="2" t="inlineStr">
        <is>
          <t>AFC — Our Investors (Equity)</t>
        </is>
      </c>
      <c r="D88" s="2" t="inlineStr">
        <is>
          <t>May 2026</t>
        </is>
      </c>
      <c r="E88" s="2" t="inlineStr">
        <is>
          <t>https://www.africafc.org/our-investors/equity</t>
        </is>
      </c>
      <c r="F88" s="2" t="inlineStr">
        <is>
          <t>Complete AFC shareholder roster</t>
        </is>
      </c>
    </row>
    <row r="89" ht="23.25" customHeight="1" s="16">
      <c r="A89" s="2" t="inlineStr">
        <is>
          <t>Africa50-IAF</t>
        </is>
      </c>
      <c r="B89" s="2" t="inlineStr">
        <is>
          <t>Press release</t>
        </is>
      </c>
      <c r="C89" s="2" t="inlineStr">
        <is>
          <t>Africa50 — Africa50 IAF first close USD 222.5m primarily African institutional investors</t>
        </is>
      </c>
      <c r="D89" s="2" t="inlineStr">
        <is>
          <t>May 2026</t>
        </is>
      </c>
      <c r="E89" s="2" t="inlineStr">
        <is>
          <t>https://www.africa50.com/media/news/article/an-african-first-africa50-infrastructure-acceleration-fund-achieves-first-close-securing-2225-million-primarily-from-african-institutional-investors/</t>
        </is>
      </c>
      <c r="F89" s="2" t="inlineStr">
        <is>
          <t>Africa50-IAF LP roster: NSIA, CDC Sénégal, CDC Benin, CNSS Togo, CDG Invest, Attijariwafa, etc.</t>
        </is>
      </c>
    </row>
    <row r="90" ht="23.25" customHeight="1" s="16">
      <c r="A90" s="2" t="inlineStr">
        <is>
          <t>Africa50-IAF</t>
        </is>
      </c>
      <c r="B90" s="2" t="inlineStr">
        <is>
          <t>DFI co-disclosure</t>
        </is>
      </c>
      <c r="C90" s="2" t="inlineStr">
        <is>
          <t>AfDB — $500m African Infrastructure Acceleration Fund announcement</t>
        </is>
      </c>
      <c r="D90" s="2" t="inlineStr">
        <is>
          <t>May 2026</t>
        </is>
      </c>
      <c r="E90" s="2" t="inlineStr">
        <is>
          <t>https://www.afdb.org/en/news-and-events/press-releases/african-and-global-institutional-investors-sign-new-500m-infrastructure-fund-62752</t>
        </is>
      </c>
      <c r="F90" s="2" t="inlineStr">
        <is>
          <t>AfDB framing of Africa50-IAF</t>
        </is>
      </c>
    </row>
    <row r="91" ht="23.25" customHeight="1" s="16">
      <c r="A91" s="2" t="inlineStr">
        <is>
          <t>Africa50-IAF</t>
        </is>
      </c>
      <c r="B91" s="2" t="inlineStr">
        <is>
          <t>DFI co-disclosure</t>
        </is>
      </c>
      <c r="C91" s="2" t="inlineStr">
        <is>
          <t>IFC — IFC invests in Africa50 Fund for sustainable infrastructure (2024)</t>
        </is>
      </c>
      <c r="D91" s="2" t="inlineStr">
        <is>
          <t>May 2026</t>
        </is>
      </c>
      <c r="E91" s="2" t="inlineStr">
        <is>
          <t>https://www.ifc.org/en/pressroom/2024/ifc-invests-in-africa50-fund-to-support-sustainable-infrastructure-development-in-africa</t>
        </is>
      </c>
      <c r="F91" s="2" t="inlineStr">
        <is>
          <t>IFC participation in Africa50-IAF</t>
        </is>
      </c>
    </row>
    <row r="92" ht="23.25" customHeight="1" s="16">
      <c r="A92" s="2" t="inlineStr">
        <is>
          <t>Africa50</t>
        </is>
      </c>
      <c r="B92" s="2" t="inlineStr">
        <is>
          <t>Trade press</t>
        </is>
      </c>
      <c r="C92" s="2" t="inlineStr">
        <is>
          <t>Africa50 Surpasses $1.4bn Managed Assets (TechAfrica News Aug 2025)</t>
        </is>
      </c>
      <c r="D92" s="2" t="inlineStr">
        <is>
          <t>May 2026</t>
        </is>
      </c>
      <c r="E92" s="2" t="inlineStr">
        <is>
          <t>https://techafricanews.com/2025/08/14/africa50-surpasses-1-4-billion-in-managed-assets-becomes-continental-powerhouse/</t>
        </is>
      </c>
      <c r="F92" s="2" t="inlineStr">
        <is>
          <t>Africa50 AUM milestone</t>
        </is>
      </c>
    </row>
    <row r="93" ht="23.25" customHeight="1" s="16">
      <c r="A93" s="2" t="inlineStr">
        <is>
          <t>AfricInvest FIVE</t>
        </is>
      </c>
      <c r="B93" s="2" t="inlineStr">
        <is>
          <t>Press release</t>
        </is>
      </c>
      <c r="C93" s="2" t="inlineStr">
        <is>
          <t>AVCA — AfricInvest FIVE second close brings Norfund, IFU, CBK Pension Fund as investors (Oct 2018)</t>
        </is>
      </c>
      <c r="D93" s="2" t="inlineStr">
        <is>
          <t>May 2026</t>
        </is>
      </c>
      <c r="E93" s="2" t="inlineStr">
        <is>
          <t>https://www.avca-africa.org/newsroom/member-news/2018/africinvest-s-five-achieves-its-second-close-bringing-norfund-ifu-and-cbk-pension-fund-as-investors/</t>
        </is>
      </c>
      <c r="F93" s="2" t="inlineStr">
        <is>
          <t>CBK Pension Fund Kenya commitment to AfricInvest FIVE</t>
        </is>
      </c>
    </row>
    <row r="94" ht="23.25" customHeight="1" s="16">
      <c r="A94" s="2" t="inlineStr">
        <is>
          <t>AfricInvest FIVE</t>
        </is>
      </c>
      <c r="B94" s="2" t="inlineStr">
        <is>
          <t>Press release</t>
        </is>
      </c>
      <c r="C94" s="2" t="inlineStr">
        <is>
          <t>AfricInvest — Direct press release for FIVE second close</t>
        </is>
      </c>
      <c r="D94" s="2" t="inlineStr">
        <is>
          <t>May 2026</t>
        </is>
      </c>
      <c r="E94" s="2" t="inlineStr">
        <is>
          <t>https://www.africinvest.com/news-and-media/news/africinvest-s-five-achieves-its-second-close-bringing-norfund-ifu-and-cbk-pension-fund-as-investors/</t>
        </is>
      </c>
      <c r="F94" s="2" t="inlineStr">
        <is>
          <t>Direct allocator-side source</t>
        </is>
      </c>
    </row>
    <row r="95" ht="15" customHeight="1" s="16">
      <c r="A95" s="2" t="inlineStr">
        <is>
          <t>AfricInvest FIVE</t>
        </is>
      </c>
      <c r="B95" s="2" t="inlineStr">
        <is>
          <t>Press release</t>
        </is>
      </c>
      <c r="C95" s="2" t="inlineStr">
        <is>
          <t>AVCA — AfricInvest FIVE fourth close (2019)</t>
        </is>
      </c>
      <c r="D95" s="2" t="inlineStr">
        <is>
          <t>May 2026</t>
        </is>
      </c>
      <c r="E95" s="2" t="inlineStr">
        <is>
          <t>https://www.avca-africa.org/newsroom/member-news/2019/africinvest-s-five-achieves-fourth-close/</t>
        </is>
      </c>
      <c r="F95" s="2" t="inlineStr">
        <is>
          <t>Confirmation of continuing LP composition</t>
        </is>
      </c>
    </row>
    <row r="96" ht="23.25" customHeight="1" s="16">
      <c r="A96" s="2" t="inlineStr">
        <is>
          <t>AfricInvest FIVE</t>
        </is>
      </c>
      <c r="B96" s="2" t="inlineStr">
        <is>
          <t>DFI document</t>
        </is>
      </c>
      <c r="C96" s="2" t="inlineStr">
        <is>
          <t>AfDB Project Summary Note — AfricInvest Financial Inclusion Vehicle FIVE</t>
        </is>
      </c>
      <c r="D96" s="2" t="inlineStr">
        <is>
          <t>May 2026</t>
        </is>
      </c>
      <c r="E96" s="2" t="inlineStr">
        <is>
          <t>https://www.afdb.org/sites/default/files/documents/projects-and-operations/psn_africinvest_financial_inclusion_vehicle_-_five.pdf</t>
        </is>
      </c>
      <c r="F96" s="2" t="inlineStr">
        <is>
          <t>AfDB participation in FIVE</t>
        </is>
      </c>
    </row>
    <row r="97" ht="23.25" customHeight="1" s="16">
      <c r="A97" s="2" t="inlineStr">
        <is>
          <t>GIP Zambia</t>
        </is>
      </c>
      <c r="B97" s="2" t="inlineStr">
        <is>
          <t>Press release</t>
        </is>
      </c>
      <c r="C97" s="2" t="inlineStr">
        <is>
          <t>BII — BII, NAPSA and Swedfund launch Growth Investment Partners Zambia with $70m anchor (2025)</t>
        </is>
      </c>
      <c r="D97" s="2" t="inlineStr">
        <is>
          <t>May 2026</t>
        </is>
      </c>
      <c r="E97" s="2" t="inlineStr">
        <is>
          <t>https://www.bii.co.uk/en/news-insight/news/bii-napsa-and-swedfund-launch-growth-investment-partners-zambia-with-a-us-70-million-anchor-commitment-to-transform-sme-financing-in-zambia/</t>
        </is>
      </c>
      <c r="F97" s="2" t="inlineStr">
        <is>
          <t>NAPSA Zambia USD 17.5m commitment to GIP Zambia</t>
        </is>
      </c>
    </row>
    <row r="98" ht="23.25" customHeight="1" s="16">
      <c r="A98" s="2" t="inlineStr">
        <is>
          <t>GIP Zambia</t>
        </is>
      </c>
      <c r="B98" s="2" t="inlineStr">
        <is>
          <t>Press release</t>
        </is>
      </c>
      <c r="C98" s="2" t="inlineStr">
        <is>
          <t>Swedfund — Swedfund, BII and NAPSA launch GIP Zambia</t>
        </is>
      </c>
      <c r="D98" s="2" t="inlineStr">
        <is>
          <t>May 2026</t>
        </is>
      </c>
      <c r="E98" s="2" t="inlineStr">
        <is>
          <t>https://www.swedfund.se/en/about-swedfund/news/swedfund-bii-and-napsa-launch-growth-investment-partners-zambia-to-transform-sme-financing-in-zambia</t>
        </is>
      </c>
      <c r="F98" s="2" t="inlineStr">
        <is>
          <t>Swedish DFI side disclosure</t>
        </is>
      </c>
    </row>
    <row r="99" ht="15" customHeight="1" s="16">
      <c r="A99" s="2" t="inlineStr">
        <is>
          <t>GIP Zambia</t>
        </is>
      </c>
      <c r="B99" s="2" t="inlineStr">
        <is>
          <t>Allocator disclosure</t>
        </is>
      </c>
      <c r="C99" s="2" t="inlineStr">
        <is>
          <t>NAPSA Zambia — BII, NAPSA and Swedfund launch GIP Zambia</t>
        </is>
      </c>
      <c r="D99" s="2" t="inlineStr">
        <is>
          <t>May 2026</t>
        </is>
      </c>
      <c r="E99" s="2" t="inlineStr">
        <is>
          <t>https://www.napsa.co.zm/news/details?id=123e4567-e89b-12d3-a456-426614174000</t>
        </is>
      </c>
      <c r="F99" s="2" t="inlineStr">
        <is>
          <t>NAPSA-side disclosure</t>
        </is>
      </c>
    </row>
    <row r="100" ht="15" customHeight="1" s="16">
      <c r="A100" s="2" t="inlineStr">
        <is>
          <t>FSDAi-Ci-Gaba</t>
        </is>
      </c>
      <c r="B100" s="2" t="inlineStr">
        <is>
          <t>Press release</t>
        </is>
      </c>
      <c r="C100" s="2" t="inlineStr">
        <is>
          <t>Africa Global Funds — FSDAi Invests in Ci-Gaba Fund (Jan 2026)</t>
        </is>
      </c>
      <c r="D100" s="2" t="inlineStr">
        <is>
          <t>May 2026</t>
        </is>
      </c>
      <c r="E100" s="2" t="inlineStr">
        <is>
          <t>https://www.africaglobalfunds.com/news/investors/fsdai-invests-in-ci-gaba-fund/</t>
        </is>
      </c>
      <c r="F100" s="2" t="inlineStr">
        <is>
          <t>FSDAi USD 7.5m commitment to Ci-Gaba</t>
        </is>
      </c>
    </row>
    <row r="101" ht="15" customHeight="1" s="16">
      <c r="A101" s="2" t="inlineStr">
        <is>
          <t>FSDAi portfolio</t>
        </is>
      </c>
      <c r="B101" s="2" t="inlineStr">
        <is>
          <t>Allocator disclosure</t>
        </is>
      </c>
      <c r="C101" s="2" t="inlineStr">
        <is>
          <t>FSD Africa Investments – FSDAi Investments portfolio page</t>
        </is>
      </c>
      <c r="D101" s="2" t="inlineStr">
        <is>
          <t>May 2026</t>
        </is>
      </c>
      <c r="E101" s="2" t="inlineStr">
        <is>
          <t>https://fsdafrica.org/fsdai-investments/</t>
        </is>
      </c>
      <c r="F101" s="2" t="inlineStr">
        <is>
          <t>FSDAi cumulative portfolio summary</t>
        </is>
      </c>
    </row>
    <row r="102" ht="15" customHeight="1" s="16">
      <c r="A102" s="2" t="inlineStr">
        <is>
          <t>BII Catalyst Fund II</t>
        </is>
      </c>
      <c r="B102" s="2" t="inlineStr">
        <is>
          <t>Allocator disclosure</t>
        </is>
      </c>
      <c r="C102" s="2" t="inlineStr">
        <is>
          <t>BII — Catalyst Fund II LP investment profile</t>
        </is>
      </c>
      <c r="D102" s="2" t="inlineStr">
        <is>
          <t>May 2026</t>
        </is>
      </c>
      <c r="E102" s="2" t="inlineStr">
        <is>
          <t>https://www.bii.co.uk/en/our-impact/fund/catalyst-fund-ii-lp-investment-01/</t>
        </is>
      </c>
      <c r="F102" s="2" t="inlineStr">
        <is>
          <t>BII's $30m commitment to Catalyst Fund II</t>
        </is>
      </c>
    </row>
    <row r="103" ht="23.25" customHeight="1" s="16">
      <c r="A103" s="2" t="inlineStr">
        <is>
          <t>Catalyst Fund II</t>
        </is>
      </c>
      <c r="B103" s="2" t="inlineStr">
        <is>
          <t>Trade press</t>
        </is>
      </c>
      <c r="C103" s="2" t="inlineStr">
        <is>
          <t>Catalyst Fund II reaches $155m final close (Africa Global Funds)</t>
        </is>
      </c>
      <c r="D103" s="2" t="inlineStr">
        <is>
          <t>May 2026</t>
        </is>
      </c>
      <c r="E103" s="2" t="inlineStr">
        <is>
          <t>https://africaglobalfunds.com/news/private-equity/fundraising/catalyst-fund-ii-reaches-155m-final-close/</t>
        </is>
      </c>
      <c r="F103" s="2" t="inlineStr">
        <is>
          <t>Catalyst Fund II close detail including LP composition reference</t>
        </is>
      </c>
    </row>
    <row r="104" ht="23.25" customHeight="1" s="16">
      <c r="A104" s="2" t="inlineStr">
        <is>
          <t>Adenia V</t>
        </is>
      </c>
      <c r="B104" s="2" t="inlineStr">
        <is>
          <t>Press release</t>
        </is>
      </c>
      <c r="C104" s="2" t="inlineStr">
        <is>
          <t>Adenia closes Adenia Capital V at $470m hard cap (Apr 2024)</t>
        </is>
      </c>
      <c r="D104" s="2" t="inlineStr">
        <is>
          <t>May 2026</t>
        </is>
      </c>
      <c r="E104" s="2" t="inlineStr">
        <is>
          <t>https://www.adenia.com/news/adenia-closes-fifth-flagship-fund-oversubscribed-at-470m/</t>
        </is>
      </c>
      <c r="F104" s="2" t="inlineStr">
        <is>
          <t>Adenia V close; LP categories include PIC and Kenyan/Ghanaian pension funds</t>
        </is>
      </c>
    </row>
    <row r="105" ht="23.25" customHeight="1" s="16">
      <c r="A105" s="2" t="inlineStr">
        <is>
          <t>Adenia V</t>
        </is>
      </c>
      <c r="B105" s="2" t="inlineStr">
        <is>
          <t>Trade press</t>
        </is>
      </c>
      <c r="C105" s="2" t="inlineStr">
        <is>
          <t>Africa Global Funds — Adenia Capital V Closes at $470m Hard Cap</t>
        </is>
      </c>
      <c r="D105" s="2" t="inlineStr">
        <is>
          <t>May 2026</t>
        </is>
      </c>
      <c r="E105" s="2" t="inlineStr">
        <is>
          <t>https://www.africaglobalfunds.com/news/private-equity/fundraising/adenia-capital-v-closes-at-470m-hard-cap/</t>
        </is>
      </c>
      <c r="F105" s="2" t="inlineStr">
        <is>
          <t>Coverage of Adenia V LP roster</t>
        </is>
      </c>
    </row>
    <row r="106" ht="15" customHeight="1" s="16">
      <c r="A106" s="2" t="inlineStr">
        <is>
          <t>KEPFIC</t>
        </is>
      </c>
      <c r="B106" s="2" t="inlineStr">
        <is>
          <t>Allocator disclosure</t>
        </is>
      </c>
      <c r="C106" s="2" t="inlineStr">
        <is>
          <t>KEPFIC — Kenya Pension Funds Investment Consortium</t>
        </is>
      </c>
      <c r="D106" s="2" t="inlineStr">
        <is>
          <t>May 2026</t>
        </is>
      </c>
      <c r="E106" s="2" t="inlineStr">
        <is>
          <t>https://kepfic.co.ke/about-us/</t>
        </is>
      </c>
      <c r="F106" s="2" t="inlineStr">
        <is>
          <t>KEPFIC consortium overview</t>
        </is>
      </c>
    </row>
    <row r="107" ht="15" customHeight="1" s="16">
      <c r="A107" s="2" t="inlineStr">
        <is>
          <t>KEPFIC</t>
        </is>
      </c>
      <c r="B107" s="2" t="inlineStr">
        <is>
          <t>DFI document</t>
        </is>
      </c>
      <c r="C107" s="2" t="inlineStr">
        <is>
          <t>IFC — Pooling Pensions in Kenya (2023)</t>
        </is>
      </c>
      <c r="D107" s="2" t="inlineStr">
        <is>
          <t>May 2026</t>
        </is>
      </c>
      <c r="E107" s="2" t="inlineStr">
        <is>
          <t>https://www.ifc.org/en/stories/2023/pooling-pensions-in-kenya</t>
        </is>
      </c>
      <c r="F107" s="2" t="inlineStr">
        <is>
          <t>KEPFIC formation history, structure and 24-member scale</t>
        </is>
      </c>
    </row>
    <row r="108" ht="23.25" customHeight="1" s="16">
      <c r="A108" s="2" t="inlineStr">
        <is>
          <t>KEPFIC</t>
        </is>
      </c>
      <c r="B108" s="2" t="inlineStr">
        <is>
          <t>DFI document</t>
        </is>
      </c>
      <c r="C108" s="2" t="inlineStr">
        <is>
          <t>MiDA Advisors — Financing critical infrastructure in Kenya with local institutional capital</t>
        </is>
      </c>
      <c r="D108" s="2" t="inlineStr">
        <is>
          <t>May 2026</t>
        </is>
      </c>
      <c r="E108" s="2" t="inlineStr">
        <is>
          <t>https://www.midaadvisors.com/advisory-firm-financing-the-development-of-critical-infrastructure-in-kenya-with-local-institutional-capital</t>
        </is>
      </c>
      <c r="F108" s="2" t="inlineStr">
        <is>
          <t>USAID-backed KEPFIC infra investment mandate</t>
        </is>
      </c>
    </row>
    <row r="109" ht="23.25" customHeight="1" s="16">
      <c r="A109" s="2" t="inlineStr">
        <is>
          <t>KEPFIC</t>
        </is>
      </c>
      <c r="B109" s="2" t="inlineStr">
        <is>
          <t>Industry agreement</t>
        </is>
      </c>
      <c r="C109" s="2" t="inlineStr">
        <is>
          <t>FMA Kenya — KEPFIC and FMA MOU on alternative assets</t>
        </is>
      </c>
      <c r="D109" s="2" t="inlineStr">
        <is>
          <t>May 2026</t>
        </is>
      </c>
      <c r="E109" s="2" t="inlineStr">
        <is>
          <t>https://fma.co.ke/kepfic-fma-sign-mou-to-foster-pension-investment-in-alternative-assets/</t>
        </is>
      </c>
      <c r="F109" s="2" t="inlineStr">
        <is>
          <t>Fund Managers Association of Kenya MOU with KEPFIC on alts</t>
        </is>
      </c>
    </row>
    <row r="110" ht="34.5" customHeight="1" s="16">
      <c r="A110" s="2" t="inlineStr">
        <is>
          <t>Africa pension aggregate</t>
        </is>
      </c>
      <c r="B110" s="2" t="inlineStr">
        <is>
          <t>OECD report</t>
        </is>
      </c>
      <c r="C110" s="2" t="inlineStr">
        <is>
          <t>OECD Africa Capital Markets Report 2025 — Insurance companies and pension funds as institutional investors</t>
        </is>
      </c>
      <c r="D110" s="2" t="inlineStr">
        <is>
          <t>May 2026</t>
        </is>
      </c>
      <c r="E110" s="2" t="inlineStr">
        <is>
          <t>https://www.oecd.org/en/publications/africa-capital-markets-report-2025_7d26e1d3-en/full-report/the-role-of-insurance-companies-and-pension-funds-as-institutional-investors-in-african-capital-markets_4889d177.html</t>
        </is>
      </c>
      <c r="F110" s="2" t="inlineStr">
        <is>
          <t>OECD analysis of African pension/insurance institutional investor role</t>
        </is>
      </c>
    </row>
    <row r="111" ht="23.25" customHeight="1" s="16">
      <c r="A111" s="2" t="inlineStr">
        <is>
          <t>BluePeak Capital</t>
        </is>
      </c>
      <c r="B111" s="2" t="inlineStr">
        <is>
          <t>Trade press</t>
        </is>
      </c>
      <c r="C111" s="2" t="inlineStr">
        <is>
          <t>BluePeak Private Capital Fund II — BII/FMO/Swedfund/SIFEM commit $80m (2025)</t>
        </is>
      </c>
      <c r="D111" s="2" t="inlineStr">
        <is>
          <t>May 2026</t>
        </is>
      </c>
      <c r="E111" s="2" t="inlineStr">
        <is>
          <t>https://www.africaglobalfunds.com/news/investors/</t>
        </is>
      </c>
      <c r="F111" s="2" t="inlineStr">
        <is>
          <t>European DFI fund; African LPs not named</t>
        </is>
      </c>
    </row>
    <row r="112" ht="23.25" customHeight="1" s="16">
      <c r="A112" s="2" t="inlineStr">
        <is>
          <t>Adenia Africa Entrepreneurial</t>
        </is>
      </c>
      <c r="B112" s="2" t="inlineStr">
        <is>
          <t>Trade press</t>
        </is>
      </c>
      <c r="C112" s="2" t="inlineStr">
        <is>
          <t>ImpactAlpha — Adenia closes Africa Entrepreneurial Fund at $180m</t>
        </is>
      </c>
      <c r="D112" s="2" t="inlineStr">
        <is>
          <t>May 2026</t>
        </is>
      </c>
      <c r="E112" s="2" t="inlineStr">
        <is>
          <t>https://impactalpha.com/adenia-closes-africa-entrepreneurial-fund-at-180-million/</t>
        </is>
      </c>
      <c r="F112" s="2" t="inlineStr">
        <is>
          <t>Adenia AEF first close; smaller fund alongside Adenia V</t>
        </is>
      </c>
    </row>
    <row r="113" ht="15" customHeight="1" s="16">
      <c r="A113" s="2" t="inlineStr">
        <is>
          <t>African aggregate</t>
        </is>
      </c>
      <c r="B113" s="2" t="inlineStr">
        <is>
          <t>Trade press</t>
        </is>
      </c>
      <c r="C113" s="2" t="inlineStr">
        <is>
          <t>ImpactAlpha — African capital for African private equity</t>
        </is>
      </c>
      <c r="D113" s="2" t="inlineStr">
        <is>
          <t>May 2026</t>
        </is>
      </c>
      <c r="E113" s="2" t="inlineStr">
        <is>
          <t>https://impactalpha.com/lp-gp-african-capital-for-african-private-equity/</t>
        </is>
      </c>
      <c r="F113" s="2" t="inlineStr">
        <is>
          <t>Aggregate analysis on African LP participation</t>
        </is>
      </c>
    </row>
    <row r="114" ht="23.25" customHeight="1" s="16">
      <c r="A114" s="2" t="inlineStr">
        <is>
          <t>NMG Pension Fund</t>
        </is>
      </c>
      <c r="B114" s="2" t="inlineStr">
        <is>
          <t>Trade press</t>
        </is>
      </c>
      <c r="C114" s="2" t="inlineStr">
        <is>
          <t>Africa Global Funds — NMG Pension Fund commits $1m to Ascent (25 Feb 2015)</t>
        </is>
      </c>
      <c r="D114" s="2" t="inlineStr">
        <is>
          <t>May 2026</t>
        </is>
      </c>
      <c r="E114" s="2" t="inlineStr">
        <is>
          <t>https://www.africaglobalfunds.com/news/investors/NMG_Pension_Fund_commits_1m_to_Ascent_/</t>
        </is>
      </c>
      <c r="F114" s="2" t="inlineStr">
        <is>
          <t>NMG Pension Fund $1m via STANLIB Kenya to ARVF I; KPLC PF $4m at first close (first East African pension LP)</t>
        </is>
      </c>
    </row>
    <row r="115" ht="15" customHeight="1" s="16">
      <c r="A115" s="2" t="inlineStr">
        <is>
          <t>Ascent Capital Africa</t>
        </is>
      </c>
      <c r="B115" s="2" t="inlineStr">
        <is>
          <t>GP website</t>
        </is>
      </c>
      <c r="C115" s="2" t="inlineStr">
        <is>
          <t>Ascent Capital Africa — Firm overview</t>
        </is>
      </c>
      <c r="D115" s="2" t="inlineStr">
        <is>
          <t>May 2026</t>
        </is>
      </c>
      <c r="E115" s="2" t="inlineStr">
        <is>
          <t>https://ascent-africa.com/</t>
        </is>
      </c>
      <c r="F115" s="2" t="inlineStr">
        <is>
          <t>Ascent Africa firm profile</t>
        </is>
      </c>
    </row>
    <row r="116" ht="15" customHeight="1" s="16">
      <c r="A116" s="2" t="inlineStr">
        <is>
          <t>Ascent Rift Valley Fund II</t>
        </is>
      </c>
      <c r="B116" s="2" t="inlineStr">
        <is>
          <t>DFI disclosure</t>
        </is>
      </c>
      <c r="C116" s="2" t="inlineStr">
        <is>
          <t>BIO — Ascent announces first close of ARVF II</t>
        </is>
      </c>
      <c r="D116" s="2" t="inlineStr">
        <is>
          <t>May 2026</t>
        </is>
      </c>
      <c r="E116" s="2" t="inlineStr">
        <is>
          <t>https://www.bio-invest.be/en/news/ascent-announces-first-close-of-ascent-rift-valley-fund-ii</t>
        </is>
      </c>
      <c r="F116" s="2" t="inlineStr">
        <is>
          <t>ARVF II first close LP composition</t>
        </is>
      </c>
    </row>
    <row r="117" ht="15" customHeight="1" s="16">
      <c r="A117" s="2" t="inlineStr">
        <is>
          <t>Ascent Rift Valley Fund II</t>
        </is>
      </c>
      <c r="B117" s="2" t="inlineStr">
        <is>
          <t>DFI disclosure</t>
        </is>
      </c>
      <c r="C117" s="2" t="inlineStr">
        <is>
          <t>IFC — Ascent Fund II project disclosure (Project 43267)</t>
        </is>
      </c>
      <c r="D117" s="2" t="inlineStr">
        <is>
          <t>May 2026</t>
        </is>
      </c>
      <c r="E117" s="2" t="inlineStr">
        <is>
          <t>https://disclosures.ifc.org/project-detail/SII/43267/ascent-fund-ii</t>
        </is>
      </c>
      <c r="F117" s="2" t="inlineStr">
        <is>
          <t>IFC commitment + co-investors detail</t>
        </is>
      </c>
    </row>
    <row r="118" ht="23.25" customHeight="1" s="16">
      <c r="A118" s="2" t="inlineStr">
        <is>
          <t>Ascent Capital</t>
        </is>
      </c>
      <c r="B118" s="2" t="inlineStr">
        <is>
          <t>Trade press</t>
        </is>
      </c>
      <c r="C118" s="2" t="inlineStr">
        <is>
          <t>Ascent Capital Seeks $120 Million for East Africa Businesses (AmCham Kenya)</t>
        </is>
      </c>
      <c r="D118" s="2" t="inlineStr">
        <is>
          <t>May 2026</t>
        </is>
      </c>
      <c r="E118" s="2" t="inlineStr">
        <is>
          <t>https://www.amcham.co.ke/news/ascent-capital-seeks-120-million-east-africa-businesses</t>
        </is>
      </c>
      <c r="F118" s="2" t="inlineStr">
        <is>
          <t>ARVF II fundraising context</t>
        </is>
      </c>
    </row>
    <row r="119" ht="23.25" customHeight="1" s="16">
      <c r="A119" s="2" t="inlineStr">
        <is>
          <t>Helios CLEAR Fund</t>
        </is>
      </c>
      <c r="B119" s="2" t="inlineStr">
        <is>
          <t>Trade press</t>
        </is>
      </c>
      <c r="C119" s="2" t="inlineStr">
        <is>
          <t>Africa Global Funds — CLEAR Fund Achieves $200m First Close (July 2024)</t>
        </is>
      </c>
      <c r="D119" s="2" t="inlineStr">
        <is>
          <t>May 2026</t>
        </is>
      </c>
      <c r="E119" s="2" t="inlineStr">
        <is>
          <t>https://www.africaglobalfunds.com/news/private-equity/fundraising/clear-fund-achieves-200m-first-close/</t>
        </is>
      </c>
      <c r="F119" s="2" t="inlineStr">
        <is>
          <t>Helios CLEAR Fund first close LP roster</t>
        </is>
      </c>
    </row>
    <row r="120" ht="15" customHeight="1" s="16">
      <c r="A120" s="2" t="inlineStr">
        <is>
          <t>Helios CLEAR Fund</t>
        </is>
      </c>
      <c r="B120" s="2" t="inlineStr">
        <is>
          <t>DFI disclosure</t>
        </is>
      </c>
      <c r="C120" s="2" t="inlineStr">
        <is>
          <t>BII — Helios CLEAR Fund SCSp investment profile</t>
        </is>
      </c>
      <c r="D120" s="2" t="inlineStr">
        <is>
          <t>May 2026</t>
        </is>
      </c>
      <c r="E120" s="2" t="inlineStr">
        <is>
          <t>https://www.bii.co.uk/en/our-impact/fund/helios-clear-fund-scsp-investment-01/</t>
        </is>
      </c>
      <c r="F120" s="2" t="inlineStr">
        <is>
          <t>BII USD 20m to Helios CLEAR</t>
        </is>
      </c>
    </row>
    <row r="121" ht="15" customHeight="1" s="16">
      <c r="A121" s="2" t="inlineStr">
        <is>
          <t>Helios CLEAR Fund</t>
        </is>
      </c>
      <c r="B121" s="2" t="inlineStr">
        <is>
          <t>DFI disclosure</t>
        </is>
      </c>
      <c r="C121" s="2" t="inlineStr">
        <is>
          <t>EIB — Helios CLEAR Fund SCSp (Project 20230054)</t>
        </is>
      </c>
      <c r="D121" s="2" t="inlineStr">
        <is>
          <t>May 2026</t>
        </is>
      </c>
      <c r="E121" s="2" t="inlineStr">
        <is>
          <t>https://www.eib.org/en/projects/all/20230054</t>
        </is>
      </c>
      <c r="F121" s="2" t="inlineStr">
        <is>
          <t>EIB investment in Helios CLEAR</t>
        </is>
      </c>
    </row>
    <row r="122" ht="23.25" customHeight="1" s="16">
      <c r="A122" s="2" t="inlineStr">
        <is>
          <t>Helios CLEAR Fund</t>
        </is>
      </c>
      <c r="B122" s="2" t="inlineStr">
        <is>
          <t>DFI disclosure</t>
        </is>
      </c>
      <c r="C122" s="2" t="inlineStr">
        <is>
          <t>SIFEM (responsAbility) — USD 15m to Helios CLEAR Fund first close</t>
        </is>
      </c>
      <c r="D122" s="2" t="inlineStr">
        <is>
          <t>May 2026</t>
        </is>
      </c>
      <c r="E122" s="2" t="inlineStr">
        <is>
          <t>https://www.responsability.com/en/press-releases/sifem-commits-usd-15-million-to-first-close-of-helios-clear-fund</t>
        </is>
      </c>
      <c r="F122" s="2" t="inlineStr">
        <is>
          <t>SIFEM co-anchor commitment</t>
        </is>
      </c>
    </row>
    <row r="123" ht="23.25" customHeight="1" s="16">
      <c r="A123" s="2" t="inlineStr">
        <is>
          <t>Helios Fund V</t>
        </is>
      </c>
      <c r="B123" s="2" t="inlineStr">
        <is>
          <t>DFI disclosure</t>
        </is>
      </c>
      <c r="C123" s="2" t="inlineStr">
        <is>
          <t>EIB Global — USD 75m in Helios Fund V (2025)</t>
        </is>
      </c>
      <c r="D123" s="2" t="inlineStr">
        <is>
          <t>May 2026</t>
        </is>
      </c>
      <c r="E123" s="2" t="inlineStr">
        <is>
          <t>https://www.eib.org/en/press/all/2025-103-eib-global-invests-usd75-million-in-helios-fund-v-to-support-africa-s-digitally-focused-businesses</t>
        </is>
      </c>
      <c r="F123" s="2" t="inlineStr">
        <is>
          <t>EIB Helios V commitment</t>
        </is>
      </c>
    </row>
    <row r="124" ht="23.25" customHeight="1" s="16">
      <c r="A124" s="2" t="inlineStr">
        <is>
          <t>DPI ADP IV</t>
        </is>
      </c>
      <c r="B124" s="2" t="inlineStr">
        <is>
          <t>Trade press</t>
        </is>
      </c>
      <c r="C124" s="2" t="inlineStr">
        <is>
          <t>ImpactAlpha — DPI reaches first close on fourth Africa fund</t>
        </is>
      </c>
      <c r="D124" s="2" t="inlineStr">
        <is>
          <t>May 2026</t>
        </is>
      </c>
      <c r="E124" s="2" t="inlineStr">
        <is>
          <t>https://impactalpha.com/development-partners-international-reaches-first-close-on-fourth-africa-fund/</t>
        </is>
      </c>
      <c r="F124" s="2" t="inlineStr">
        <is>
          <t>ADP IV first close detail</t>
        </is>
      </c>
    </row>
    <row r="125" ht="15" customHeight="1" s="16">
      <c r="A125" s="2" t="inlineStr">
        <is>
          <t>DPI ADP IV</t>
        </is>
      </c>
      <c r="B125" s="2" t="inlineStr">
        <is>
          <t>DFI disclosure</t>
        </is>
      </c>
      <c r="C125" s="2" t="inlineStr">
        <is>
          <t>IFC — African Development Partners IV LP (Project 50049)</t>
        </is>
      </c>
      <c r="D125" s="2" t="inlineStr">
        <is>
          <t>May 2026</t>
        </is>
      </c>
      <c r="E125" s="2" t="inlineStr">
        <is>
          <t>https://disclosures.ifc.org/project-detail/SII/50049/african-development-partners-iv-lp</t>
        </is>
      </c>
      <c r="F125" s="2" t="inlineStr">
        <is>
          <t>IFC ADP IV disclosure</t>
        </is>
      </c>
    </row>
    <row r="126" ht="15" customHeight="1" s="16">
      <c r="A126" s="2" t="inlineStr">
        <is>
          <t>DPI ADP IV</t>
        </is>
      </c>
      <c r="B126" s="2" t="inlineStr">
        <is>
          <t>DFI disclosure</t>
        </is>
      </c>
      <c r="C126" s="2" t="inlineStr">
        <is>
          <t>Africa Private Equity News — Proparco joins first close of DPI's ADP IV</t>
        </is>
      </c>
      <c r="D126" s="2" t="inlineStr">
        <is>
          <t>May 2026</t>
        </is>
      </c>
      <c r="E126" s="2" t="inlineStr">
        <is>
          <t>https://www.africaprivateequitynews.com/p/proparco-joins-first-close-of-dpis</t>
        </is>
      </c>
      <c r="F126" s="2" t="inlineStr">
        <is>
          <t>Proparco USD 42m commitment to ADP IV</t>
        </is>
      </c>
    </row>
    <row r="127" ht="23.25" customHeight="1" s="16">
      <c r="A127" s="2" t="inlineStr">
        <is>
          <t>Phatisa Food Fund 3</t>
        </is>
      </c>
      <c r="B127" s="2" t="inlineStr">
        <is>
          <t>DFI disclosure</t>
        </is>
      </c>
      <c r="C127" s="2" t="inlineStr">
        <is>
          <t>Phatisa Food Fund 3 first close $86m (BII / FinDev / Norfund / Swedfund / IFC)</t>
        </is>
      </c>
      <c r="D127" s="2" t="inlineStr">
        <is>
          <t>May 2026</t>
        </is>
      </c>
      <c r="E127" s="2" t="inlineStr">
        <is>
          <t>https://www.cbinsights.com/investor/phatisa-group</t>
        </is>
      </c>
      <c r="F127" s="2" t="inlineStr">
        <is>
          <t>Phatisa PFF3 LP roster</t>
        </is>
      </c>
    </row>
    <row r="128" ht="23.25" customHeight="1" s="16">
      <c r="A128" s="2" t="inlineStr">
        <is>
          <t>Vantage Mezzanine IV</t>
        </is>
      </c>
      <c r="B128" s="2" t="inlineStr">
        <is>
          <t>DFI disclosure</t>
        </is>
      </c>
      <c r="C128" s="2" t="inlineStr">
        <is>
          <t>EIB — Vantage Mezzanine IV Pan-African sub-fund partnership</t>
        </is>
      </c>
      <c r="D128" s="2" t="inlineStr">
        <is>
          <t>May 2026</t>
        </is>
      </c>
      <c r="E128" s="2" t="inlineStr">
        <is>
          <t>https://www.eib.org/en/products/equity/funds/vantage-mezzanine-iv-pan-african-sub-fund-partnership</t>
        </is>
      </c>
      <c r="F128" s="2" t="inlineStr">
        <is>
          <t>Vantage IV Pan-African sub-fund EIB participation</t>
        </is>
      </c>
    </row>
    <row r="129" ht="23.25" customHeight="1" s="16">
      <c r="A129" s="2" t="inlineStr">
        <is>
          <t>Vantage Mezzanine IV</t>
        </is>
      </c>
      <c r="B129" s="2" t="inlineStr">
        <is>
          <t>DFI disclosure</t>
        </is>
      </c>
      <c r="C129" s="2" t="inlineStr">
        <is>
          <t>BII — Vantage Mezzanine IV Pan-African Sub-Fund profile</t>
        </is>
      </c>
      <c r="D129" s="2" t="inlineStr">
        <is>
          <t>May 2026</t>
        </is>
      </c>
      <c r="E129" s="2" t="inlineStr">
        <is>
          <t>https://www.bii.co.uk/en/our-impact/fund/vantage-mezzanine-iv-pan-african-sub-fund-investment-01/</t>
        </is>
      </c>
      <c r="F129" s="2" t="inlineStr">
        <is>
          <t>BII Vantage IV commitment</t>
        </is>
      </c>
    </row>
    <row r="130" ht="15" customHeight="1" s="16">
      <c r="A130" s="2" t="inlineStr">
        <is>
          <t>Vantage Mezzanine IV</t>
        </is>
      </c>
      <c r="B130" s="2" t="inlineStr">
        <is>
          <t>DFI disclosure</t>
        </is>
      </c>
      <c r="C130" s="2" t="inlineStr">
        <is>
          <t>Swedfund — Vantage Mezzanine Fund IV</t>
        </is>
      </c>
      <c r="D130" s="2" t="inlineStr">
        <is>
          <t>May 2026</t>
        </is>
      </c>
      <c r="E130" s="2" t="inlineStr">
        <is>
          <t>https://www.swedfund.se/en/investments-and-projects/vantage-mezzanine-fund-iv</t>
        </is>
      </c>
      <c r="F130" s="2" t="inlineStr">
        <is>
          <t>Swedfund Vantage IV commitment</t>
        </is>
      </c>
    </row>
    <row r="131" ht="23.25" customHeight="1" s="16">
      <c r="A131" s="2" t="inlineStr">
        <is>
          <t>Vantage Mezzanine IV</t>
        </is>
      </c>
      <c r="B131" s="2" t="inlineStr">
        <is>
          <t>Trade press</t>
        </is>
      </c>
      <c r="C131" s="2" t="inlineStr">
        <is>
          <t>Africa Global Funds — Vantage closes fourth mezzanine fund</t>
        </is>
      </c>
      <c r="D131" s="2" t="inlineStr">
        <is>
          <t>May 2026</t>
        </is>
      </c>
      <c r="E131" s="2" t="inlineStr">
        <is>
          <t>https://www.africaglobalfunds.com/news/private-equity/fundraising/vantage-closes-fourth-mezzanine-fund/</t>
        </is>
      </c>
      <c r="F131" s="2" t="inlineStr">
        <is>
          <t>Vantage IV close + LP narrative incl. 'Southern African pension funds'</t>
        </is>
      </c>
    </row>
    <row r="132" ht="23.25" customHeight="1" s="16">
      <c r="A132" s="2" t="inlineStr">
        <is>
          <t>Vantage Mezzanine IV</t>
        </is>
      </c>
      <c r="B132" s="2" t="inlineStr">
        <is>
          <t>DFI disclosure</t>
        </is>
      </c>
      <c r="C132" s="2" t="inlineStr">
        <is>
          <t>IFC — Vantage Capital Mezzanine investment</t>
        </is>
      </c>
      <c r="D132" s="2" t="inlineStr">
        <is>
          <t>May 2026</t>
        </is>
      </c>
      <c r="E132" s="2" t="inlineStr">
        <is>
          <t>https://www.ifc.org/en/pressroom/2021/ifc-invests-in-vantage-capitals-mezzanine-fund-to-support-fast-g</t>
        </is>
      </c>
      <c r="F132" s="2" t="inlineStr">
        <is>
          <t>IFC Vantage commitment</t>
        </is>
      </c>
    </row>
    <row r="133" ht="23.25" customHeight="1" s="16">
      <c r="A133" s="2" t="inlineStr">
        <is>
          <t>Verod-Kepple Africa Fund I</t>
        </is>
      </c>
      <c r="B133" s="2" t="inlineStr">
        <is>
          <t>Trade press</t>
        </is>
      </c>
      <c r="C133" s="2" t="inlineStr">
        <is>
          <t>TechCrunch — Verod-Kepple closes first fund at $60m (April 2024)</t>
        </is>
      </c>
      <c r="D133" s="2" t="inlineStr">
        <is>
          <t>May 2026</t>
        </is>
      </c>
      <c r="E133" s="2" t="inlineStr">
        <is>
          <t>https://techcrunch.com/2024/04/09/verod-kepple-closes-first-fund-at-60m/</t>
        </is>
      </c>
      <c r="F133" s="2" t="inlineStr">
        <is>
          <t>Verod-Kepple Africa VC Fund I close</t>
        </is>
      </c>
    </row>
    <row r="134" ht="34.5" customHeight="1" s="16">
      <c r="A134" s="2" t="inlineStr">
        <is>
          <t>Adenia V</t>
        </is>
      </c>
      <c r="B134" s="2" t="inlineStr">
        <is>
          <t>DFI disclosure</t>
        </is>
      </c>
      <c r="C134" s="2" t="inlineStr">
        <is>
          <t>EIB — Adenia Capital V LP page</t>
        </is>
      </c>
      <c r="D134" s="2" t="inlineStr">
        <is>
          <t>May 2026</t>
        </is>
      </c>
      <c r="E134" s="2" t="inlineStr">
        <is>
          <t>https://www.eib.org/en/products/equity/funds/adenia-capital-v</t>
        </is>
      </c>
      <c r="F134" s="2" t="inlineStr">
        <is>
          <t>Comprehensive named LP list: Blue Earth, Bpifrance, Casey Family, DEG, DFC, EIB, FMO, IFC, Norfund, Findev Canada, PIC, Proparco, SIFEM, South Suez Capital</t>
        </is>
      </c>
    </row>
    <row r="135" ht="15" customHeight="1" s="16">
      <c r="A135" s="2" t="inlineStr">
        <is>
          <t>Adenia V</t>
        </is>
      </c>
      <c r="B135" s="2" t="inlineStr">
        <is>
          <t>DFI disclosure</t>
        </is>
      </c>
      <c r="C135" s="2" t="inlineStr">
        <is>
          <t>IFC — Adenia V Project Disclosure (project 45890)</t>
        </is>
      </c>
      <c r="D135" s="2" t="inlineStr">
        <is>
          <t>May 2026</t>
        </is>
      </c>
      <c r="E135" s="2" t="inlineStr">
        <is>
          <t>https://disclosures.ifc.org/project-detail/SII/45890/adenia-v-project</t>
        </is>
      </c>
      <c r="F135" s="2" t="inlineStr">
        <is>
          <t>IFC Adenia V SII</t>
        </is>
      </c>
    </row>
    <row r="136" ht="15" customHeight="1" s="16">
      <c r="A136" s="2" t="inlineStr">
        <is>
          <t>Adenia V</t>
        </is>
      </c>
      <c r="B136" s="2" t="inlineStr">
        <is>
          <t>DFI tracking</t>
        </is>
      </c>
      <c r="C136" s="2" t="inlineStr">
        <is>
          <t>EWS — Adenia V tracking (IFC-45890)</t>
        </is>
      </c>
      <c r="D136" s="2" t="inlineStr">
        <is>
          <t>May 2026</t>
        </is>
      </c>
      <c r="E136" s="2" t="inlineStr">
        <is>
          <t>https://ewsdata.rightsindevelopment.org/projects/45890-adenia-v/</t>
        </is>
      </c>
      <c r="F136" s="2" t="inlineStr">
        <is>
          <t>Civil-society tracking of IFC project</t>
        </is>
      </c>
    </row>
    <row r="137" ht="23.25" customHeight="1" s="16">
      <c r="A137" s="2" t="inlineStr">
        <is>
          <t>ADP IV</t>
        </is>
      </c>
      <c r="B137" s="2" t="inlineStr">
        <is>
          <t>DFI disclosure</t>
        </is>
      </c>
      <c r="C137" s="2" t="inlineStr">
        <is>
          <t>IFC SII — African Development Partners IV (project 50049)</t>
        </is>
      </c>
      <c r="D137" s="2" t="inlineStr">
        <is>
          <t>May 2026</t>
        </is>
      </c>
      <c r="E137" s="2" t="inlineStr">
        <is>
          <t>https://disclosures.ifc.org/project-detail/SII/50049/african-development-partners-iv-lp</t>
        </is>
      </c>
      <c r="F137" s="2" t="inlineStr">
        <is>
          <t>IFC USD 75m commitment to ADP IV; up to 20% of total; USD 50m co-invest envelope. Target USD 1bn.</t>
        </is>
      </c>
    </row>
    <row r="138" ht="15" customHeight="1" s="16">
      <c r="A138" s="2" t="inlineStr">
        <is>
          <t>Vantage Mezzanine IV</t>
        </is>
      </c>
      <c r="B138" s="2" t="inlineStr">
        <is>
          <t>DFI disclosure</t>
        </is>
      </c>
      <c r="C138" s="2" t="inlineStr">
        <is>
          <t>IFC SII — Vantage Mezzanine Fund IV (project 45092)</t>
        </is>
      </c>
      <c r="D138" s="2" t="inlineStr">
        <is>
          <t>May 2026</t>
        </is>
      </c>
      <c r="E138" s="2" t="inlineStr">
        <is>
          <t>https://disclosures.ifc.org/project-detail/SII/45092/vantage-mezzanine-fund-iv</t>
        </is>
      </c>
      <c r="F138" s="2" t="inlineStr">
        <is>
          <t>IFC commitment to Vantage IV</t>
        </is>
      </c>
    </row>
    <row r="139" ht="23.25" customHeight="1" s="16">
      <c r="A139" s="2" t="inlineStr">
        <is>
          <t>Vantage Mezzanine IV</t>
        </is>
      </c>
      <c r="B139" s="2" t="inlineStr">
        <is>
          <t>GP announcement</t>
        </is>
      </c>
      <c r="C139" s="2" t="inlineStr">
        <is>
          <t>Vantage Capital — Final close of fourth mezzanine fund</t>
        </is>
      </c>
      <c r="D139" s="2" t="inlineStr">
        <is>
          <t>May 2026</t>
        </is>
      </c>
      <c r="E139" s="2" t="inlineStr">
        <is>
          <t>https://www.vantagecapital.co.za/vantage-capital-announces-the-final-close-of-its-fourth-mezzanine-fund/</t>
        </is>
      </c>
      <c r="F139" s="2" t="inlineStr">
        <is>
          <t>Vantage Mezz IV USD 377m final close</t>
        </is>
      </c>
    </row>
    <row r="140" ht="23.25" customHeight="1" s="16">
      <c r="A140" s="2" t="inlineStr">
        <is>
          <t>Sahel Capital FAFIN</t>
        </is>
      </c>
      <c r="B140" s="2" t="inlineStr">
        <is>
          <t>Allocator disclosure</t>
        </is>
      </c>
      <c r="C140" s="2" t="inlineStr">
        <is>
          <t>NSIA — Sahel Capital closes FAFIN at USD 65.9m</t>
        </is>
      </c>
      <c r="D140" s="2" t="inlineStr">
        <is>
          <t>May 2026</t>
        </is>
      </c>
      <c r="E140" s="2" t="inlineStr">
        <is>
          <t>https://nsia.com.ng/sahel-capital-closes-fund-for-agricultural-finance-in-nigeria-fafin-at-65-9-milllion-2/</t>
        </is>
      </c>
      <c r="F140" s="2" t="inlineStr">
        <is>
          <t>NSIA confirmation as FAFIN LP; LPs: AfDB, CDC/BII, DGGF, NSIA</t>
        </is>
      </c>
    </row>
    <row r="141" ht="23.25" customHeight="1" s="16">
      <c r="A141" s="2" t="inlineStr">
        <is>
          <t>Sahel Capital</t>
        </is>
      </c>
      <c r="B141" s="2" t="inlineStr">
        <is>
          <t>GP website</t>
        </is>
      </c>
      <c r="C141" s="2" t="inlineStr">
        <is>
          <t>Sahel Capital — Private Equity portfolio (FAFIN, SCAF II, SEFAA, Private Debt Fund)</t>
        </is>
      </c>
      <c r="D141" s="2" t="inlineStr">
        <is>
          <t>May 2026</t>
        </is>
      </c>
      <c r="E141" s="2" t="inlineStr">
        <is>
          <t>https://sahelcapital.com/private-equity/</t>
        </is>
      </c>
      <c r="F141" s="2" t="inlineStr">
        <is>
          <t>Sahel Capital fund family</t>
        </is>
      </c>
    </row>
    <row r="142" ht="15" customHeight="1" s="16">
      <c r="A142" s="2" t="inlineStr">
        <is>
          <t>Sahel Capital FAFIN</t>
        </is>
      </c>
      <c r="B142" s="2" t="inlineStr">
        <is>
          <t>DFI disclosure</t>
        </is>
      </c>
      <c r="C142" s="2" t="inlineStr">
        <is>
          <t>BII — Sahel Capital FAFIN profile</t>
        </is>
      </c>
      <c r="D142" s="2" t="inlineStr">
        <is>
          <t>May 2026</t>
        </is>
      </c>
      <c r="E142" s="2" t="inlineStr">
        <is>
          <t>https://www.bii.co.uk/our-impact/fund/sahel-capital-fafin/</t>
        </is>
      </c>
      <c r="F142" s="2" t="inlineStr">
        <is>
          <t>BII/CDC commitment to FAFIN</t>
        </is>
      </c>
    </row>
    <row r="143" ht="23.25" customHeight="1" s="16">
      <c r="A143" s="2" t="inlineStr">
        <is>
          <t>Sahel Agribusiness Private Debt Fund</t>
        </is>
      </c>
      <c r="B143" s="2" t="inlineStr">
        <is>
          <t>Trade press</t>
        </is>
      </c>
      <c r="C143" s="2" t="inlineStr">
        <is>
          <t>Ecofin — Sahel Capital launches USD 55.4m agribusiness fund</t>
        </is>
      </c>
      <c r="D143" s="2" t="inlineStr">
        <is>
          <t>May 2026</t>
        </is>
      </c>
      <c r="E143" s="2" t="inlineStr">
        <is>
          <t>https://www.ecofinagency.com/news-finances/2502-53253-nigerian-investment-firm-sahel-capital-launches-55-million-fund-to-narrow-farm-finance-gap</t>
        </is>
      </c>
      <c r="F143" s="2" t="inlineStr">
        <is>
          <t>NGN 75bn fund; eligible investors include pension funds; Stanbic IBTC in partner consortium</t>
        </is>
      </c>
    </row>
    <row r="144" ht="34.5" customHeight="1" s="16">
      <c r="A144" s="2" t="inlineStr">
        <is>
          <t>Yield Uganda Investment Fund</t>
        </is>
      </c>
      <c r="B144" s="2" t="inlineStr">
        <is>
          <t>Allocator disclosure</t>
        </is>
      </c>
      <c r="C144" s="2" t="inlineStr">
        <is>
          <t>Pearl Capital Partners — Yield Uganda Annual Report 2023</t>
        </is>
      </c>
      <c r="D144" s="2" t="inlineStr">
        <is>
          <t>May 2026</t>
        </is>
      </c>
      <c r="E144" s="2" t="inlineStr">
        <is>
          <t>https://pearlcapital.net/yield-uganda-investment-fund-annual-report-2023/</t>
        </is>
      </c>
      <c r="F144" s="2" t="inlineStr">
        <is>
          <t>Yield Uganda full LP list: EU/IFAD, NSSF Uganda (EUR 2m), FCA Investments, Soros Economic Development Fund; total EUR 20m</t>
        </is>
      </c>
    </row>
    <row r="145" ht="23.25" customHeight="1" s="16">
      <c r="A145" s="2" t="inlineStr">
        <is>
          <t>Yield Uganda Investment Fund</t>
        </is>
      </c>
      <c r="B145" s="2" t="inlineStr">
        <is>
          <t>DFI disclosure</t>
        </is>
      </c>
      <c r="C145" s="2" t="inlineStr">
        <is>
          <t>Pearl Capital Partners — Yield Uganda first close announcement</t>
        </is>
      </c>
      <c r="D145" s="2" t="inlineStr">
        <is>
          <t>May 2026</t>
        </is>
      </c>
      <c r="E145" s="2" t="inlineStr">
        <is>
          <t>https://www.globalaginvesting.com/pearl-capital-partners-announces-first-close-yield-uganda-investment-fund/</t>
        </is>
      </c>
      <c r="F145" s="2" t="inlineStr">
        <is>
          <t>EU/IFAD EUR 10m + NSSF Uganda EUR 2m founding</t>
        </is>
      </c>
    </row>
    <row r="146" ht="23.25" customHeight="1" s="16">
      <c r="A146" s="2" t="inlineStr">
        <is>
          <t>African Capital Alliance (ACA)</t>
        </is>
      </c>
      <c r="B146" s="2" t="inlineStr">
        <is>
          <t>GP website</t>
        </is>
      </c>
      <c r="C146" s="2" t="inlineStr">
        <is>
          <t>African Capital Alliance — About / corporate site</t>
        </is>
      </c>
      <c r="D146" s="2" t="inlineStr">
        <is>
          <t>May 2026</t>
        </is>
      </c>
      <c r="E146" s="2" t="inlineStr">
        <is>
          <t>https://www.acagp.com/about-african-capital-alliance/</t>
        </is>
      </c>
      <c r="F146" s="2" t="inlineStr">
        <is>
          <t>ACA history; CAPE I-IV; &gt;USD 1bn cumulative; championed Nigerian pension PE inclusion</t>
        </is>
      </c>
    </row>
    <row r="147" ht="23.25" customHeight="1" s="16">
      <c r="A147" s="2" t="inlineStr">
        <is>
          <t>African Capital Alliance (ACA)</t>
        </is>
      </c>
      <c r="B147" s="2" t="inlineStr">
        <is>
          <t>AVCA interview</t>
        </is>
      </c>
      <c r="C147" s="2" t="inlineStr">
        <is>
          <t>AVCA — ACA member interview (2021)</t>
        </is>
      </c>
      <c r="D147" s="2" t="inlineStr">
        <is>
          <t>May 2026</t>
        </is>
      </c>
      <c r="E147" s="2" t="inlineStr">
        <is>
          <t>https://www.avca.africa/media/msafqt3i/2021-03_aca-member-interview.pdf</t>
        </is>
      </c>
      <c r="F147" s="2" t="inlineStr">
        <is>
          <t>ACA narrative and PE-pension history in Nigeria</t>
        </is>
      </c>
    </row>
    <row r="148" ht="15" customHeight="1" s="16">
      <c r="A148" s="2" t="inlineStr">
        <is>
          <t>CAPE IV</t>
        </is>
      </c>
      <c r="B148" s="2" t="inlineStr">
        <is>
          <t>DFI disclosure</t>
        </is>
      </c>
      <c r="C148" s="2" t="inlineStr">
        <is>
          <t>BII — Capital Alliance Private Equity IV profile</t>
        </is>
      </c>
      <c r="D148" s="2" t="inlineStr">
        <is>
          <t>May 2026</t>
        </is>
      </c>
      <c r="E148" s="2" t="inlineStr">
        <is>
          <t>https://www.bii.co.uk/en/our-impact/fund/capital-alliance-private-equity-iv-cape-iv/</t>
        </is>
      </c>
      <c r="F148" s="2" t="inlineStr">
        <is>
          <t>BII commitment to CAPE IV</t>
        </is>
      </c>
    </row>
    <row r="149" ht="15" customHeight="1" s="16">
      <c r="A149" s="2" t="inlineStr">
        <is>
          <t>KEPFIC</t>
        </is>
      </c>
      <c r="B149" s="2" t="inlineStr">
        <is>
          <t>Trade press</t>
        </is>
      </c>
      <c r="C149" s="2" t="inlineStr">
        <is>
          <t>AmCham Kenya — US announces new Kenyan pension consortium</t>
        </is>
      </c>
      <c r="D149" s="2" t="inlineStr">
        <is>
          <t>May 2026</t>
        </is>
      </c>
      <c r="E149" s="2" t="inlineStr">
        <is>
          <t>https://amcham.co.ke/node/876</t>
        </is>
      </c>
      <c r="F149" s="2" t="inlineStr">
        <is>
          <t>KEPFIC founding and US/USAID support</t>
        </is>
      </c>
    </row>
    <row r="150" ht="23.25" customHeight="1" s="16">
      <c r="A150" s="2" t="inlineStr">
        <is>
          <t>KEPFIC</t>
        </is>
      </c>
      <c r="B150" s="2" t="inlineStr">
        <is>
          <t>Trade press</t>
        </is>
      </c>
      <c r="C150" s="2" t="inlineStr">
        <is>
          <t>HapaKenya — KEPFIC set to invest in infrastructure (Feb 2022)</t>
        </is>
      </c>
      <c r="D150" s="2" t="inlineStr">
        <is>
          <t>May 2026</t>
        </is>
      </c>
      <c r="E150" s="2" t="inlineStr">
        <is>
          <t>https://hapakenya.com/2022/02/18/kepfic-a-pension-fund-consortium-is-set-to-start-investing-in-infrastructure-projects-in-diversification-strategy/</t>
        </is>
      </c>
      <c r="F150" s="2" t="inlineStr">
        <is>
          <t>KEPFIC investment plan launch</t>
        </is>
      </c>
    </row>
    <row r="151" ht="23.25" customHeight="1" s="16">
      <c r="A151" s="2" t="inlineStr">
        <is>
          <t>KEPFIC</t>
        </is>
      </c>
      <c r="B151" s="2" t="inlineStr">
        <is>
          <t>Trade press</t>
        </is>
      </c>
      <c r="C151" s="2" t="inlineStr">
        <is>
          <t>Streamline Feed — Pension Funds Launch Consortium for State Projects</t>
        </is>
      </c>
      <c r="D151" s="2" t="inlineStr">
        <is>
          <t>May 2026</t>
        </is>
      </c>
      <c r="E151" s="2" t="inlineStr">
        <is>
          <t>https://streamlinefeed.co.ke/news/pension-funds-launch-consortium-to-channel-billions-into-state-projects</t>
        </is>
      </c>
      <c r="F151" s="2" t="inlineStr">
        <is>
          <t>KEPFIC member context</t>
        </is>
      </c>
    </row>
    <row r="152" ht="23.25" customHeight="1" s="16">
      <c r="A152" s="2" t="inlineStr">
        <is>
          <t>KEPFIC</t>
        </is>
      </c>
      <c r="B152" s="2" t="inlineStr">
        <is>
          <t>Trade press</t>
        </is>
      </c>
      <c r="C152" s="2" t="inlineStr">
        <is>
          <t>Bizna Kenya — Local Pension Schemes Accelerate Investment in Infrastructure</t>
        </is>
      </c>
      <c r="D152" s="2" t="inlineStr">
        <is>
          <t>May 2026</t>
        </is>
      </c>
      <c r="E152" s="2" t="inlineStr">
        <is>
          <t>https://biznakenya.com/pension-2/</t>
        </is>
      </c>
      <c r="F152" s="2" t="inlineStr">
        <is>
          <t>KEPFIC progress coverage</t>
        </is>
      </c>
    </row>
    <row r="153" ht="15" customHeight="1" s="16">
      <c r="A153" s="2" t="inlineStr">
        <is>
          <t>Adenia AEF</t>
        </is>
      </c>
      <c r="B153" s="2" t="inlineStr">
        <is>
          <t>GP website</t>
        </is>
      </c>
      <c r="C153" s="2" t="inlineStr">
        <is>
          <t>Adenia — Africa Entrepreneurial Fund (AEF) page</t>
        </is>
      </c>
      <c r="D153" s="2" t="inlineStr">
        <is>
          <t>May 2026</t>
        </is>
      </c>
      <c r="E153" s="2" t="inlineStr">
        <is>
          <t>https://www.adenia.com/investments/</t>
        </is>
      </c>
      <c r="F153" s="2" t="inlineStr">
        <is>
          <t>Adenia AEF first close $180m</t>
        </is>
      </c>
    </row>
    <row r="154" ht="23.25" customHeight="1" s="16">
      <c r="A154" s="2" t="inlineStr">
        <is>
          <t>RSSB Rwanda</t>
        </is>
      </c>
      <c r="B154" s="2" t="inlineStr">
        <is>
          <t>Press release</t>
        </is>
      </c>
      <c r="C154" s="2" t="inlineStr">
        <is>
          <t>FSD Africa — RSSB Anchors First Close of USD 100m Rwanda SME Fund Managed by Enko Capital (28 April 2026)</t>
        </is>
      </c>
      <c r="D154" s="2" t="inlineStr">
        <is>
          <t>May 2026</t>
        </is>
      </c>
      <c r="E154" s="2" t="inlineStr">
        <is>
          <t>https://fsdafrica.org/enko-capital-rwanda-reaches-first-close-of-its-rssb-anchored-us-100-million-sme-fund-to-fuel-rwandas-economic-growth/</t>
        </is>
      </c>
      <c r="F154" s="2" t="inlineStr">
        <is>
          <t>RSSB USD 30m anchor + USD 3m TA seed to Enko Capital Rwanda SME Growth Fund</t>
        </is>
      </c>
    </row>
    <row r="155" ht="23.25" customHeight="1" s="16">
      <c r="A155" s="2" t="inlineStr">
        <is>
          <t>RSSB Rwanda</t>
        </is>
      </c>
      <c r="B155" s="2" t="inlineStr">
        <is>
          <t>Trade press</t>
        </is>
      </c>
      <c r="C155" s="2" t="inlineStr">
        <is>
          <t>Africa Private Equity News — Enko Capital-managed Rwanda SME fund receives $30m anchor commitment</t>
        </is>
      </c>
      <c r="D155" s="2" t="inlineStr">
        <is>
          <t>May 2026</t>
        </is>
      </c>
      <c r="E155" s="2" t="inlineStr">
        <is>
          <t>https://www.africaprivateequitynews.com/p/enko-capital-managed-rwanda-sme-fund</t>
        </is>
      </c>
      <c r="F155" s="2" t="inlineStr">
        <is>
          <t>Coverage of RSSB-Enko commitment</t>
        </is>
      </c>
    </row>
    <row r="156" ht="23.25" customHeight="1" s="16">
      <c r="A156" s="2" t="inlineStr">
        <is>
          <t>RSSB Rwanda</t>
        </is>
      </c>
      <c r="B156" s="2" t="inlineStr">
        <is>
          <t>Trade press</t>
        </is>
      </c>
      <c r="C156" s="2" t="inlineStr">
        <is>
          <t>KT Press — An Unusual Investor Steps In to Back Rwanda's Small Businesses (April 2026)</t>
        </is>
      </c>
      <c r="D156" s="2" t="inlineStr">
        <is>
          <t>May 2026</t>
        </is>
      </c>
      <c r="E156" s="2" t="inlineStr">
        <is>
          <t>https://www.ktpress.rw/2026/04/an-unusual-investor-steps-in-to-back-rwandas-small-businesses/</t>
        </is>
      </c>
      <c r="F156" s="2" t="inlineStr">
        <is>
          <t>Local Rwandan coverage of RSSB SME Growth Fund</t>
        </is>
      </c>
    </row>
    <row r="157" ht="15" customHeight="1" s="16">
      <c r="A157" s="2" t="inlineStr">
        <is>
          <t>AOFSA</t>
        </is>
      </c>
      <c r="B157" s="2" t="inlineStr">
        <is>
          <t>Press release</t>
        </is>
      </c>
      <c r="C157" s="2" t="inlineStr">
        <is>
          <t>Batseta + USAID + MiDA Advisors — AOFSA launch (Nov 2021)</t>
        </is>
      </c>
      <c r="D157" s="2" t="inlineStr">
        <is>
          <t>May 2026</t>
        </is>
      </c>
      <c r="E157" s="2" t="inlineStr">
        <is>
          <t>https://www.ebnet.co.za/asset-owners-forum-south-africa-aofsa-launched/</t>
        </is>
      </c>
      <c r="F157" s="2" t="inlineStr">
        <is>
          <t>AOFSA launch announcement; founding member context</t>
        </is>
      </c>
    </row>
    <row r="158" ht="15" customHeight="1" s="16">
      <c r="A158" s="2" t="inlineStr">
        <is>
          <t>AOFSA</t>
        </is>
      </c>
      <c r="B158" s="2" t="inlineStr">
        <is>
          <t>Allocator disclosure</t>
        </is>
      </c>
      <c r="C158" s="2" t="inlineStr">
        <is>
          <t>Batseta Council — AOFSA page</t>
        </is>
      </c>
      <c r="D158" s="2" t="inlineStr">
        <is>
          <t>May 2026</t>
        </is>
      </c>
      <c r="E158" s="2" t="inlineStr">
        <is>
          <t>https://www.batseta.org.za/assetownersforum</t>
        </is>
      </c>
      <c r="F158" s="2" t="inlineStr">
        <is>
          <t>Batseta secretariat / AOFSA detail</t>
        </is>
      </c>
    </row>
    <row r="159" ht="15" customHeight="1" s="16">
      <c r="A159" s="2" t="inlineStr">
        <is>
          <t>AOFSA</t>
        </is>
      </c>
      <c r="B159" s="2" t="inlineStr">
        <is>
          <t>DFI document</t>
        </is>
      </c>
      <c r="C159" s="2" t="inlineStr">
        <is>
          <t>MiDA Advisors — Asset Owners Forum of South Africa</t>
        </is>
      </c>
      <c r="D159" s="2" t="inlineStr">
        <is>
          <t>May 2026</t>
        </is>
      </c>
      <c r="E159" s="2" t="inlineStr">
        <is>
          <t>https://www.midaadvisors.com/advisory-firm-the-asset-owners-forum-south-africa</t>
        </is>
      </c>
      <c r="F159" s="2" t="inlineStr">
        <is>
          <t>MiDA technical assistance to AOFSA</t>
        </is>
      </c>
    </row>
    <row r="160" ht="23.25" customHeight="1" s="16">
      <c r="A160" s="2" t="inlineStr">
        <is>
          <t>AOFSA</t>
        </is>
      </c>
      <c r="B160" s="2" t="inlineStr">
        <is>
          <t>Trade press</t>
        </is>
      </c>
      <c r="C160" s="2" t="inlineStr">
        <is>
          <t>Moneyweb — Retirement funds set up forum to boost infrastructure investment (2021)</t>
        </is>
      </c>
      <c r="D160" s="2" t="inlineStr">
        <is>
          <t>May 2026</t>
        </is>
      </c>
      <c r="E160" s="2" t="inlineStr">
        <is>
          <t>https://www.moneyweb.co.za/news/south-africa/retirement-funds-set-up-forum-to-boost-infrastructure-investment/</t>
        </is>
      </c>
      <c r="F160" s="2" t="inlineStr">
        <is>
          <t>AOFSA founding member coverage</t>
        </is>
      </c>
    </row>
    <row r="161" ht="23.25" customHeight="1" s="16">
      <c r="A161" s="2" t="inlineStr">
        <is>
          <t>AOFSA</t>
        </is>
      </c>
      <c r="B161" s="2" t="inlineStr">
        <is>
          <t>Allocator disclosure</t>
        </is>
      </c>
      <c r="C161" s="2" t="inlineStr">
        <is>
          <t>MiDA — AOFSA exceeds infrastructure investment target at 1st anniversary</t>
        </is>
      </c>
      <c r="D161" s="2" t="inlineStr">
        <is>
          <t>May 2026</t>
        </is>
      </c>
      <c r="E161" s="2" t="inlineStr">
        <is>
          <t>https://www.midaadvisors.com/advisory-firm-news-and-media/media/at-its-first-anniversary-asset-owners-forum-south-africa-exceeds-infrastructure-investment-target-builds-for-the-future</t>
        </is>
      </c>
      <c r="F161" s="2" t="inlineStr">
        <is>
          <t>AOFSA exceeded R3.75bn target in first year</t>
        </is>
      </c>
    </row>
    <row r="162" ht="23.25" customHeight="1" s="16">
      <c r="A162" s="2" t="inlineStr">
        <is>
          <t>AOFSA</t>
        </is>
      </c>
      <c r="B162" s="2" t="inlineStr">
        <is>
          <t>Trade press</t>
        </is>
      </c>
      <c r="C162" s="2" t="inlineStr">
        <is>
          <t>Property24 — SA pension funds join forces to invest in infrastructure (2021)</t>
        </is>
      </c>
      <c r="D162" s="2" t="inlineStr">
        <is>
          <t>May 2026</t>
        </is>
      </c>
      <c r="E162" s="2" t="inlineStr">
        <is>
          <t>https://www.property24.com/articles/sa-pension-funds-join-forces-to-invest-in-infrastructure-development/30753</t>
        </is>
      </c>
      <c r="F162" s="2" t="inlineStr">
        <is>
          <t>AOFSA member coverage</t>
        </is>
      </c>
    </row>
    <row r="163" ht="23.25" customHeight="1" s="16">
      <c r="A163" s="2" t="inlineStr">
        <is>
          <t>AOFSA</t>
        </is>
      </c>
      <c r="B163" s="2" t="inlineStr">
        <is>
          <t>DFI document</t>
        </is>
      </c>
      <c r="C163" s="2" t="inlineStr">
        <is>
          <t>Prosper Africa — U.S., Kenyan and South African Pension Funds Commit Over $94m to African PE &amp; Infrastructure</t>
        </is>
      </c>
      <c r="D163" s="2" t="inlineStr">
        <is>
          <t>May 2026</t>
        </is>
      </c>
      <c r="E163" s="2" t="inlineStr">
        <is>
          <t>https://www.prosperafrica.gov/news/impact-story/u-s-kenyan-and-south-african-pension-funds-commit-over-94-million-to-african-private-equity-infrastructure/</t>
        </is>
      </c>
      <c r="F163" s="2" t="inlineStr">
        <is>
          <t>Prosper Africa / USAID context for KEPFIC + AOFSA</t>
        </is>
      </c>
    </row>
    <row r="164" ht="23.25" customHeight="1" s="16">
      <c r="A164" s="2" t="inlineStr">
        <is>
          <t>AOFSA</t>
        </is>
      </c>
      <c r="B164" s="2" t="inlineStr">
        <is>
          <t>APSA story</t>
        </is>
      </c>
      <c r="C164" s="2" t="inlineStr">
        <is>
          <t>APSA — U.S., Kenyan and South African Pension Funds Commit Over $94m</t>
        </is>
      </c>
      <c r="D164" s="2" t="inlineStr">
        <is>
          <t>May 2026</t>
        </is>
      </c>
      <c r="E164" s="2" t="inlineStr">
        <is>
          <t>https://www.africapsa.org/news/u-s-kenyan-and-south-african-pension-funds-commit-over-94-million-to-african-private-equity-infrastructure/</t>
        </is>
      </c>
      <c r="F164" s="2" t="inlineStr">
        <is>
          <t>African Pension Supervisors Association coverage</t>
        </is>
      </c>
    </row>
    <row r="165" ht="23.25" customHeight="1" s="16">
      <c r="A165" s="2" t="inlineStr">
        <is>
          <t>AOFSA</t>
        </is>
      </c>
      <c r="B165" s="2" t="inlineStr">
        <is>
          <t>DFI document</t>
        </is>
      </c>
      <c r="C165" s="2" t="inlineStr">
        <is>
          <t>CrossBoundary — Investment Pipeline Building for the Asset Owners Forum of South Africa</t>
        </is>
      </c>
      <c r="D165" s="2" t="inlineStr">
        <is>
          <t>May 2026</t>
        </is>
      </c>
      <c r="E165" s="2" t="inlineStr">
        <is>
          <t>https://crossboundary.com/work/investment-pipeline-asset-owners-forum-south-africa/</t>
        </is>
      </c>
      <c r="F165" s="2" t="inlineStr">
        <is>
          <t>CrossBoundary advisory engagement with AOFSA</t>
        </is>
      </c>
    </row>
    <row r="166" ht="23.25" customHeight="1" s="16">
      <c r="A166" s="2" t="inlineStr">
        <is>
          <t>Mirepa Capital SME Fund I</t>
        </is>
      </c>
      <c r="B166" s="2" t="inlineStr">
        <is>
          <t>Press release</t>
        </is>
      </c>
      <c r="C166" s="2" t="inlineStr">
        <is>
          <t>Mirepa Investment Advisors — initial close of Mirepa Capital SME Fund I</t>
        </is>
      </c>
      <c r="D166" s="2" t="inlineStr">
        <is>
          <t>May 2026</t>
        </is>
      </c>
      <c r="E166" s="2" t="inlineStr">
        <is>
          <t>https://www.injaroinvestments.com/blog/injaro-ghana-venture-capital-fund-raises-ghs127m-at-first-close</t>
        </is>
      </c>
      <c r="F166" s="2" t="inlineStr">
        <is>
          <t>Mirepa initial close detail; LPs: Petra Trust, Axis Pensions, CAMCOL schemes, VCTF</t>
        </is>
      </c>
    </row>
    <row r="167" ht="23.25" customHeight="1" s="16">
      <c r="A167" s="2" t="inlineStr">
        <is>
          <t>Mirepa Capital SME Fund I</t>
        </is>
      </c>
      <c r="B167" s="2" t="inlineStr">
        <is>
          <t>Trade press</t>
        </is>
      </c>
      <c r="C167" s="2" t="inlineStr">
        <is>
          <t>Innovation Spark — Mirepa Capital SME Fund I initial close</t>
        </is>
      </c>
      <c r="D167" s="2" t="inlineStr">
        <is>
          <t>May 2026</t>
        </is>
      </c>
      <c r="E167" s="2" t="inlineStr">
        <is>
          <t>https://theinnovationspark.com/2023/11/03/mirepa-investment-advisors-reaches-intial-close-of-its-mirepa-capital-sme-fund-i/</t>
        </is>
      </c>
      <c r="F167" s="2" t="inlineStr">
        <is>
          <t>Mirepa LP composition</t>
        </is>
      </c>
    </row>
    <row r="168" ht="23.25" customHeight="1" s="16">
      <c r="A168" s="2" t="inlineStr">
        <is>
          <t>Mirepa Capital SME Fund I</t>
        </is>
      </c>
      <c r="B168" s="2" t="inlineStr">
        <is>
          <t>Trade press</t>
        </is>
      </c>
      <c r="C168" s="2" t="inlineStr">
        <is>
          <t>B&amp;FT — Mirepa Capital SME Fund I initial close</t>
        </is>
      </c>
      <c r="D168" s="2" t="inlineStr">
        <is>
          <t>May 2026</t>
        </is>
      </c>
      <c r="E168" s="2" t="inlineStr">
        <is>
          <t>https://thebftonline.com/2023/08/02/mirepa-investment-advisors-announces-initial-close-of-mirepa-capital-sme-fund-i-2/</t>
        </is>
      </c>
      <c r="F168" s="2" t="inlineStr">
        <is>
          <t>Ghanaian local-LP-only model</t>
        </is>
      </c>
    </row>
    <row r="169" ht="23.25" customHeight="1" s="16">
      <c r="A169" s="2" t="inlineStr">
        <is>
          <t>Mirepa Capital SME Fund I</t>
        </is>
      </c>
      <c r="B169" s="2" t="inlineStr">
        <is>
          <t>Trade press</t>
        </is>
      </c>
      <c r="C169" s="2" t="inlineStr">
        <is>
          <t>Afrikan Heroes — Ghana's VCTF leads USD 10.5m investment in Mirepa</t>
        </is>
      </c>
      <c r="D169" s="2" t="inlineStr">
        <is>
          <t>May 2026</t>
        </is>
      </c>
      <c r="E169" s="2" t="inlineStr">
        <is>
          <t>https://afrikanheroes.com/2023/08/05/ghanas-venture-capital-trust-fund-leads-10-5m-investment-in-mirepas-maiden-fund/</t>
        </is>
      </c>
      <c r="F169" s="2" t="inlineStr">
        <is>
          <t>VCTF lead role</t>
        </is>
      </c>
    </row>
    <row r="170" ht="23.25" customHeight="1" s="16">
      <c r="A170" s="2" t="inlineStr">
        <is>
          <t>Injaro IGVCF</t>
        </is>
      </c>
      <c r="B170" s="2" t="inlineStr">
        <is>
          <t>Press release</t>
        </is>
      </c>
      <c r="C170" s="2" t="inlineStr">
        <is>
          <t>Injaro Investments — IGVCF first close GHS 127m</t>
        </is>
      </c>
      <c r="D170" s="2" t="inlineStr">
        <is>
          <t>May 2026</t>
        </is>
      </c>
      <c r="E170" s="2" t="inlineStr">
        <is>
          <t>https://www.injaroinvestments.com/blog/injaro-ghana-venture-capital-fund-raises-ghs127m-at-first-close</t>
        </is>
      </c>
      <c r="F170" s="2" t="inlineStr">
        <is>
          <t>Injaro Ghana VC Fund first close</t>
        </is>
      </c>
    </row>
    <row r="171" ht="23.25" customHeight="1" s="16">
      <c r="A171" s="2" t="inlineStr">
        <is>
          <t>Injaro IGVCF</t>
        </is>
      </c>
      <c r="B171" s="2" t="inlineStr">
        <is>
          <t>Trade press</t>
        </is>
      </c>
      <c r="C171" s="2" t="inlineStr">
        <is>
          <t>Africa Private Equity News — Injaro announces final close (Dec 2023)</t>
        </is>
      </c>
      <c r="D171" s="2" t="inlineStr">
        <is>
          <t>May 2026</t>
        </is>
      </c>
      <c r="E171" s="2" t="inlineStr">
        <is>
          <t>https://www.africaprivateequitynews.com/p/ghana-injaro-announces-final-close</t>
        </is>
      </c>
      <c r="F171" s="2" t="inlineStr">
        <is>
          <t>IGVCF GHS 216m final close, first Ghana fund anchored by local pensions</t>
        </is>
      </c>
    </row>
    <row r="172" ht="15" customHeight="1" s="16">
      <c r="A172" s="2" t="inlineStr">
        <is>
          <t>Injaro IGVCF</t>
        </is>
      </c>
      <c r="B172" s="2" t="inlineStr">
        <is>
          <t>GP website</t>
        </is>
      </c>
      <c r="C172" s="2" t="inlineStr">
        <is>
          <t>Injaro Investments — IGVCF Fund page</t>
        </is>
      </c>
      <c r="D172" s="2" t="inlineStr">
        <is>
          <t>May 2026</t>
        </is>
      </c>
      <c r="E172" s="2" t="inlineStr">
        <is>
          <t>https://www.injaroinvestments.com/fund/igvcf</t>
        </is>
      </c>
      <c r="F172" s="2" t="inlineStr">
        <is>
          <t>IGVCF profile</t>
        </is>
      </c>
    </row>
    <row r="173" ht="23.25" customHeight="1" s="16">
      <c r="A173" s="2" t="inlineStr">
        <is>
          <t>Injaro IGVCF</t>
        </is>
      </c>
      <c r="B173" s="2" t="inlineStr">
        <is>
          <t>Trade press</t>
        </is>
      </c>
      <c r="C173" s="2" t="inlineStr">
        <is>
          <t>AVCA — Injaro announces final close of Ghana Venture Capital Fund</t>
        </is>
      </c>
      <c r="D173" s="2" t="inlineStr">
        <is>
          <t>May 2026</t>
        </is>
      </c>
      <c r="E173" s="2" t="inlineStr">
        <is>
          <t>https://www.avca.africa/news-insights/member-news/injaro-announces-final-close-of-ghana-venture-capital-fund/</t>
        </is>
      </c>
      <c r="F173" s="2" t="inlineStr">
        <is>
          <t>AVCA coverage of IGVCF close</t>
        </is>
      </c>
    </row>
    <row r="174" ht="23.25" customHeight="1" s="16">
      <c r="A174" s="2" t="inlineStr">
        <is>
          <t>NSSF Uganda FoF</t>
        </is>
      </c>
      <c r="B174" s="2" t="inlineStr">
        <is>
          <t>Trade press</t>
        </is>
      </c>
      <c r="C174" s="2" t="inlineStr">
        <is>
          <t>ImpactAlpha — Pension fund in Uganda readies a $100m fund of funds (Apr 2026)</t>
        </is>
      </c>
      <c r="D174" s="2" t="inlineStr">
        <is>
          <t>May 2026</t>
        </is>
      </c>
      <c r="E174" s="2" t="inlineStr">
        <is>
          <t>https://impactalpha.com/pension-fund-in-uganda-readies-a-100-million-fund-of-funds-to-create-jobs-and-savers/</t>
        </is>
      </c>
      <c r="F174" s="2" t="inlineStr">
        <is>
          <t>NSSF Uganda planned FoF: USD 15m+ anchor, USD 100m target, before March 2026 launch</t>
        </is>
      </c>
    </row>
    <row r="175" ht="23.25" customHeight="1" s="16">
      <c r="A175" s="2" t="inlineStr">
        <is>
          <t>Enko Capital</t>
        </is>
      </c>
      <c r="B175" s="2" t="inlineStr">
        <is>
          <t>GP website</t>
        </is>
      </c>
      <c r="C175" s="2" t="inlineStr">
        <is>
          <t>Enko Capital — Africa-focused alternative asset manager (USD 1.6bn AUM)</t>
        </is>
      </c>
      <c r="D175" s="2" t="inlineStr">
        <is>
          <t>May 2026</t>
        </is>
      </c>
      <c r="E175" s="2" t="inlineStr">
        <is>
          <t>https://www.fsdafrica.org/</t>
        </is>
      </c>
      <c r="F175" s="2" t="inlineStr">
        <is>
          <t>Enko Capital profile context (linked via FSDA press release)</t>
        </is>
      </c>
    </row>
    <row r="176" ht="23.25" customHeight="1" s="16">
      <c r="A176" s="2" t="inlineStr">
        <is>
          <t>MiDA Advisors USAID</t>
        </is>
      </c>
      <c r="B176" s="2" t="inlineStr">
        <is>
          <t>DFI document</t>
        </is>
      </c>
      <c r="C176" s="2" t="inlineStr">
        <is>
          <t>USAID INVEST / Medium — How Africa's Pension Funds are Financing Infrastructure</t>
        </is>
      </c>
      <c r="D176" s="2" t="inlineStr">
        <is>
          <t>May 2026</t>
        </is>
      </c>
      <c r="E176" s="2" t="inlineStr">
        <is>
          <t>https://medium.com/usaid-invest/how-africas-pension-funds-are-financing-the-continent-s-infrastructure-gap-2bcd9aa39069</t>
        </is>
      </c>
      <c r="F176" s="2" t="inlineStr">
        <is>
          <t>USAID INVEST framing of KEPFIC + AOFSA</t>
        </is>
      </c>
    </row>
    <row r="177" ht="23.25" customHeight="1" s="16">
      <c r="A177" s="2" t="inlineStr">
        <is>
          <t>MiDA Advisors USAID</t>
        </is>
      </c>
      <c r="B177" s="2" t="inlineStr">
        <is>
          <t>DFI document</t>
        </is>
      </c>
      <c r="C177" s="2" t="inlineStr">
        <is>
          <t>USAID INVEST — Mobilizing Kenyan Pension Funds to Invest in Local Infrastructure</t>
        </is>
      </c>
      <c r="D177" s="2" t="inlineStr">
        <is>
          <t>May 2026</t>
        </is>
      </c>
      <c r="E177" s="2" t="inlineStr">
        <is>
          <t>https://medium.com/usaid-invest/mobilizing-kenyan-pension-funds-to-invest-in-local-infrastructure-3c9d2db63fb2</t>
        </is>
      </c>
      <c r="F177" s="2" t="inlineStr">
        <is>
          <t>KEPFIC formation detail</t>
        </is>
      </c>
    </row>
    <row r="178" ht="23.25" customHeight="1" s="16">
      <c r="A178" s="2" t="inlineStr">
        <is>
          <t>Kenya NIF + SWF</t>
        </is>
      </c>
      <c r="B178" s="2" t="inlineStr">
        <is>
          <t>Trade press</t>
        </is>
      </c>
      <c r="C178" s="2" t="inlineStr">
        <is>
          <t>African Capital Markets News — Kenya's new infrastructure and SWF funds to be funded by share sales</t>
        </is>
      </c>
      <c r="D178" s="2" t="inlineStr">
        <is>
          <t>May 2026</t>
        </is>
      </c>
      <c r="E178" s="2" t="inlineStr">
        <is>
          <t>https://africancapitalmarketsnews.com/kenyas-new-infrastructure-and-sovereign-wealth-funds-to-be-funded-by-share-sales/</t>
        </is>
      </c>
      <c r="F178" s="2" t="inlineStr">
        <is>
          <t>Kenya Cabinet-approved National Infrastructure Fund + SWF; KPC IPO planned March 2026</t>
        </is>
      </c>
    </row>
    <row r="179">
      <c r="A179" t="inlineStr">
        <is>
          <t>GEPF / PIC</t>
        </is>
      </c>
      <c r="B179" t="inlineStr">
        <is>
          <t>DFI / fund announcement</t>
        </is>
      </c>
      <c r="C179" t="inlineStr">
        <is>
          <t>DGGF - Zebu Africa Food Security Fund reaches total fund size of USD 84 million</t>
        </is>
      </c>
      <c r="D179" t="inlineStr">
        <is>
          <t>May 2026</t>
        </is>
      </c>
      <c r="E179" t="inlineStr">
        <is>
          <t>https://english.dggf.nl/latest/news/2019/01/24/zebu-s-africa-food-security-fund-a-dggf-investee-reaches-total-fund-size-of-usd-84-million</t>
        </is>
      </c>
      <c r="F179" t="inlineStr">
        <is>
          <t>PIC/GEPF LP confirmation in Africa Food Security Fund; co-investors AfDB, CDC/BII, DGGF, IFU, EBID and Kuramo</t>
        </is>
      </c>
    </row>
  </sheetData>
  <autoFilter ref="A1:F178"/>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13"/>
  <sheetViews>
    <sheetView zoomScaleNormal="100" workbookViewId="0">
      <pane ySplit="3" topLeftCell="A4" activePane="bottomLeft" state="frozen"/>
      <selection pane="bottomLeft" activeCell="A1" sqref="A1:G1"/>
    </sheetView>
  </sheetViews>
  <sheetFormatPr baseColWidth="8" defaultColWidth="8.7109375" defaultRowHeight="15"/>
  <cols>
    <col width="28" customWidth="1" style="16" min="1" max="1"/>
    <col width="16" customWidth="1" style="16" min="2" max="2"/>
    <col width="14" customWidth="1" style="16" min="3" max="3"/>
    <col width="50" customWidth="1" style="16" min="4" max="4"/>
    <col width="65" customWidth="1" style="16" min="5" max="5"/>
    <col width="30" customWidth="1" style="16" min="6" max="6"/>
    <col width="50" customWidth="1" style="16" min="7" max="7"/>
  </cols>
  <sheetData>
    <row r="1" ht="36" customHeight="1" s="16">
      <c r="A1" s="19" t="inlineStr">
        <is>
          <t>Tier 1 allocators with no disclosed African-alts commitments at fund or deal level — investigation into whether absence reflects regulatory constraint or under-disclosure.</t>
        </is>
      </c>
    </row>
    <row r="3" ht="15" customHeight="1" s="16">
      <c r="A3" s="1" t="inlineStr">
        <is>
          <t>Institution</t>
        </is>
      </c>
      <c r="B3" s="1" t="inlineStr">
        <is>
          <t>Country</t>
        </is>
      </c>
      <c r="C3" s="1" t="inlineStr">
        <is>
          <t>AUM (USD m)</t>
        </is>
      </c>
      <c r="D3" s="1" t="inlineStr">
        <is>
          <t>Asset mix (most recent disclosed)</t>
        </is>
      </c>
      <c r="E3" s="1" t="inlineStr">
        <is>
          <t>Why absent: regulation vs behaviour</t>
        </is>
      </c>
      <c r="F3" s="1" t="inlineStr">
        <is>
          <t>Direction of travel</t>
        </is>
      </c>
      <c r="G3" s="1" t="inlineStr">
        <is>
          <t>Source</t>
        </is>
      </c>
    </row>
    <row r="4" ht="57" customHeight="1" s="16">
      <c r="A4" s="2" t="inlineStr">
        <is>
          <t>NSSF Kenya</t>
        </is>
      </c>
      <c r="B4" s="2" t="inlineStr">
        <is>
          <t>Kenya</t>
        </is>
      </c>
      <c r="C4" s="2" t="n">
        <v>3200</v>
      </c>
      <c r="D4" s="2" t="inlineStr">
        <is>
          <t>67.8% government securities; 14.5% quoted equities; 10.0% immovable property; 2.8% fixed deposits; 1.6% private equity &amp; unlisted securities (KES 5.5bn) — up 597.8% YoY from 0.3% in 2023. Total alts (property + PE + REITs) ≈ 17.5% vs regulatory ceiling of ~70%.</t>
        </is>
      </c>
      <c r="E4" s="2" t="inlineStr">
        <is>
          <t>BEHAVIOUR (with major directional shift). RBA permits up to 10% in PE/VC. NSSF has historically deployed essentially zero in PE; the FY2024 disclosure of a 6-fold jump in unlisted exposure plus a stated MD intention to prioritise PE indicates this is becoming an emerging-allocation story, not a regulatory-block story.</t>
        </is>
      </c>
      <c r="F4" s="2" t="inlineStr">
        <is>
          <t>Active expansion underway</t>
        </is>
      </c>
      <c r="G4" s="2" t="inlineStr">
        <is>
          <t>Cytonn Retirement Benefits Schemes 2024 Performance Note; RBA Industry Brief Dec 2024; NSSF MD David Koros statements 2025–26</t>
        </is>
      </c>
    </row>
    <row r="5" ht="57" customHeight="1" s="16">
      <c r="A5" s="2" t="inlineStr">
        <is>
          <t>POESSA Ethiopia</t>
        </is>
      </c>
      <c r="B5" s="2" t="inlineStr">
        <is>
          <t>Ethiopia</t>
        </is>
      </c>
      <c r="C5" s="2" t="n">
        <v>1500</v>
      </c>
      <c r="D5" s="2" t="inlineStr">
        <is>
          <t>Historical: ~100% government securities (Treasury bills, bonds) by legal mandate. Portfolio of ETB 183bn (~USD 1.5bn). Recent: amendment lifted T-bill / bond restriction; experimental real-estate allocation underway.</t>
        </is>
      </c>
      <c r="E5" s="2" t="inlineStr">
        <is>
          <t>REGULATION (until 2022) → RECENT LIBERALISATION. Until the 2022 amendment of POESSA's establishing proclamation, the agency was statutorily forbidden from investing outside T-bills and government bonds. The amendment now permits real-estate and broader securities; no disclosed PE/VC commitments yet.</t>
        </is>
      </c>
      <c r="F5" s="2" t="inlineStr">
        <is>
          <t>Newly permitted to allocate; ramping up</t>
        </is>
      </c>
      <c r="G5" s="2" t="inlineStr">
        <is>
          <t>The Reporter Ethiopia – Pension Fund Eyes Securities Exchange in Bid to Exercise New Investment Clause; ILO actuarial valuation workshop materials</t>
        </is>
      </c>
    </row>
    <row r="6" ht="45.75" customHeight="1" s="16">
      <c r="A6" s="2" t="inlineStr">
        <is>
          <t>PSSSA / POESSA collectively (Ethiopia)</t>
        </is>
      </c>
      <c r="B6" s="2" t="inlineStr">
        <is>
          <t>Ethiopia</t>
        </is>
      </c>
      <c r="C6" s="2" t="n">
        <v>5000</v>
      </c>
      <c r="D6" s="2" t="inlineStr">
        <is>
          <t>Predominantly government securities and bank deposits; selected SOE stakes via Ethiopian Investment Holdings consolidation.</t>
        </is>
      </c>
      <c r="E6" s="2" t="inlineStr">
        <is>
          <t>REGULATION + STRUCTURAL. Ethiopian capital markets only opened with launch of Ethiopian Securities Exchange (planned). Limited domestic alts opportunity set; foreign-currency convertibility constraints limit pan-African commitments.</t>
        </is>
      </c>
      <c r="F6" s="2" t="inlineStr">
        <is>
          <t>Watch ESE launch + FX reform timeline</t>
        </is>
      </c>
      <c r="G6" s="2" t="inlineStr">
        <is>
          <t>ILO Ethiopia social-protection mapping; PSSSA / POESSA workshop materials</t>
        </is>
      </c>
    </row>
    <row r="7" ht="45.75" customHeight="1" s="16">
      <c r="A7" s="2" t="inlineStr">
        <is>
          <t>PSSSF Tanzania</t>
        </is>
      </c>
      <c r="B7" s="2" t="inlineStr">
        <is>
          <t>Tanzania</t>
        </is>
      </c>
      <c r="C7" s="2" t="n">
        <v>6000</v>
      </c>
      <c r="D7" s="2" t="inlineStr">
        <is>
          <t>DSE-listed equities; government bonds; selected SOE/parastatal direct holdings; no disclosed alts commitments at fund level. Investment guidelines issued by Bank of Tanzania.</t>
        </is>
      </c>
      <c r="E7" s="2" t="inlineStr">
        <is>
          <t>REGULATION (effective). BoT investment guidelines are conservative; private equity is not an explicit permitted category in the same way as listed equities and bonds. PSSSF has Tanzania Agricultural Development Bank (TADB) as a partner but via direct credit rather than as an LP in a fund.</t>
        </is>
      </c>
      <c r="F7" s="2" t="inlineStr">
        <is>
          <t>No active liberalisation signal</t>
        </is>
      </c>
      <c r="G7" s="2" t="inlineStr">
        <is>
          <t>PSSSF investment guidelines (BoT); TADB partnership materials</t>
        </is>
      </c>
    </row>
    <row r="8" ht="23.25" customHeight="1" s="16">
      <c r="A8" s="2" t="inlineStr">
        <is>
          <t>NSSF Tanzania</t>
        </is>
      </c>
      <c r="B8" s="2" t="inlineStr">
        <is>
          <t>Tanzania</t>
        </is>
      </c>
      <c r="C8" s="2" t="n">
        <v>1700</v>
      </c>
      <c r="D8" s="2" t="inlineStr">
        <is>
          <t>Government bonds, listed equities, real estate, fixed deposits. No disclosed PE/VC fund LP exposure.</t>
        </is>
      </c>
      <c r="E8" s="2" t="inlineStr">
        <is>
          <t>REGULATION (effective). Same BoT guideline regime as PSSSF.</t>
        </is>
      </c>
      <c r="F8" s="2" t="inlineStr">
        <is>
          <t>No active liberalisation signal</t>
        </is>
      </c>
      <c r="G8" s="2" t="inlineStr">
        <is>
          <t>PSSSF and NSSF Tanzania annual reports</t>
        </is>
      </c>
    </row>
    <row r="9" ht="57" customHeight="1" s="16">
      <c r="A9" s="2" t="inlineStr">
        <is>
          <t>NOSI / NSSA Egypt</t>
        </is>
      </c>
      <c r="B9" s="2" t="inlineStr">
        <is>
          <t>Egypt</t>
        </is>
      </c>
      <c r="C9" s="2" t="n">
        <v>110000</v>
      </c>
      <c r="D9" s="2" t="inlineStr">
        <is>
          <t>Historically: ~99% in Egyptian government securities and bank deposits transferred to National Investment Bank (NIB). Statutory cap of 1% on capital-market investment.</t>
        </is>
      </c>
      <c r="E9" s="2" t="inlineStr">
        <is>
          <t>REGULATION (severe and active). Egyptian social insurance law obliged NOSI to transfer surpluses to NIB and capped capital-market investment at 1% of insurance funds. The 2019 Unified Social Insurance Law created a unified fund and moved management back to NOSI with a 'professional' investment board, but actual asset reallocation has been gradual.</t>
        </is>
      </c>
      <c r="F9" s="2" t="inlineStr">
        <is>
          <t>Recent governance reform; allocation reform pending</t>
        </is>
      </c>
      <c r="G9" s="2" t="inlineStr">
        <is>
          <t>World Bank Egypt pension reports; Loewe (2024) Social Security in Egypt analysis</t>
        </is>
      </c>
    </row>
    <row r="10" ht="23.25" customHeight="1" s="16">
      <c r="A10" s="2" t="inlineStr">
        <is>
          <t>NIB Egypt (legacy pension assets)</t>
        </is>
      </c>
      <c r="B10" s="2" t="inlineStr">
        <is>
          <t>Egypt</t>
        </is>
      </c>
      <c r="C10" s="2" t="n">
        <v>30000</v>
      </c>
      <c r="D10" s="2" t="inlineStr">
        <is>
          <t>Treasury bills, public-sector deposits; minimal capital-market or alts exposure historically.</t>
        </is>
      </c>
      <c r="E10" s="2" t="inlineStr">
        <is>
          <t>REGULATION (effective). NIB exists in part as the legal recipient of NOSI surpluses; its mandate is government-financing, not alts allocation.</t>
        </is>
      </c>
      <c r="F10" s="2" t="inlineStr">
        <is>
          <t>Structure under reform</t>
        </is>
      </c>
      <c r="G10" s="2" t="inlineStr">
        <is>
          <t>World Bank Egypt pension reports</t>
        </is>
      </c>
    </row>
    <row r="11" ht="23.25" customHeight="1" s="16">
      <c r="A11" s="2" t="inlineStr">
        <is>
          <t>Caisse Nationale de Retraites (Algeria)</t>
        </is>
      </c>
      <c r="B11" s="2" t="inlineStr">
        <is>
          <t>Algeria</t>
        </is>
      </c>
      <c r="C11" s="2" t="n">
        <v>3000</v>
      </c>
      <c r="D11" s="2" t="inlineStr">
        <is>
          <t>Predominantly Algerian government securities and bank deposits.</t>
        </is>
      </c>
      <c r="E11" s="2" t="inlineStr">
        <is>
          <t>REGULATION + MARKET. Algerian capital market is shallow; pension allocation is steered into government financing.</t>
        </is>
      </c>
      <c r="F11" s="2" t="inlineStr">
        <is>
          <t>No active liberalisation signal</t>
        </is>
      </c>
      <c r="G11" s="2" t="inlineStr">
        <is>
          <t>Algerian Ministry of Labour disclosures (limited)</t>
        </is>
      </c>
    </row>
    <row r="12" ht="34.5" customHeight="1" s="16">
      <c r="A12" s="2" t="inlineStr">
        <is>
          <t>Libya Social Security Fund / LIA combined</t>
        </is>
      </c>
      <c r="B12" s="2" t="inlineStr">
        <is>
          <t>Libya</t>
        </is>
      </c>
      <c r="C12" s="2" t="n">
        <v>76000</v>
      </c>
      <c r="D12" s="2" t="inlineStr">
        <is>
          <t>LIA: bulk frozen under sanctions since 2011 (pre-2011 holdings included direct African bank, telecom stakes). SSF: domestic deposits and real estate.</t>
        </is>
      </c>
      <c r="E12" s="2" t="inlineStr">
        <is>
          <t>POLITICAL CONSTRAINT (sanctions on LIA); REGULATION + MARKET (SSF).</t>
        </is>
      </c>
      <c r="F12" s="2" t="inlineStr">
        <is>
          <t>Conflict-affected; reallocation contingent on political resolution</t>
        </is>
      </c>
      <c r="G12" s="2" t="inlineStr">
        <is>
          <t>UN Sanctions Committee disclosures; LIA reports (limited)</t>
        </is>
      </c>
    </row>
    <row r="13" ht="34.5" customHeight="1" s="16">
      <c r="A13" s="2" t="inlineStr">
        <is>
          <t>Sonangol Pension Fund Angola</t>
        </is>
      </c>
      <c r="B13" s="2" t="inlineStr">
        <is>
          <t>Angola</t>
        </is>
      </c>
      <c r="C13" s="2" t="n">
        <v>800</v>
      </c>
      <c r="D13" s="2" t="inlineStr">
        <is>
          <t>Historically dominated by Angolan government securities and Sonangol-affiliated holdings; alts disclosure very limited.</t>
        </is>
      </c>
      <c r="E13" s="2" t="inlineStr">
        <is>
          <t>DISCLOSURE GAP (uncertain). Material AUM but minimal public reporting; unclear whether absence of disclosed alts commitments reflects regulation, behaviour, or simply opacity.</t>
        </is>
      </c>
      <c r="F13" s="2" t="inlineStr">
        <is>
          <t>Warrants follow-up via Angolan insurance regulator (ARSEG)</t>
        </is>
      </c>
      <c r="G13" s="2" t="inlineStr">
        <is>
          <t>ARSEG materials (limited); Sonangol corporate disclosures</t>
        </is>
      </c>
    </row>
  </sheetData>
  <autoFilter ref="A3:G13"/>
  <mergeCells count="1">
    <mergeCell ref="A1:G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22"/>
  <sheetViews>
    <sheetView zoomScaleNormal="100" workbookViewId="0">
      <pane ySplit="3" topLeftCell="A4" activePane="bottomLeft" state="frozen"/>
      <selection pane="bottomLeft" activeCell="A1" sqref="A1:H1"/>
    </sheetView>
  </sheetViews>
  <sheetFormatPr baseColWidth="8" defaultColWidth="8.7109375" defaultRowHeight="15"/>
  <cols>
    <col width="38" customWidth="1" style="16" min="1" max="1"/>
    <col width="14" customWidth="1" style="16" min="2" max="2"/>
    <col width="40" customWidth="1" style="16" min="3" max="3"/>
    <col width="30" customWidth="1" style="16" min="4" max="4"/>
    <col width="40" customWidth="1" style="16" min="5" max="5"/>
    <col width="22" customWidth="1" style="16" min="6" max="6"/>
    <col width="60" customWidth="1" style="16" min="7" max="7"/>
    <col width="40" customWidth="1" style="16" min="8" max="8"/>
  </cols>
  <sheetData>
    <row r="1" ht="36" customHeight="1" s="16">
      <c r="A1" s="19" t="inlineStr">
        <is>
          <t>Regulatory ceiling on alternative-asset allocation vs. actual disclosed allocation, top allocator institutions. Gap = headroom unused.</t>
        </is>
      </c>
    </row>
    <row r="3" ht="23.25" customHeight="1" s="16">
      <c r="A3" s="1" t="inlineStr">
        <is>
          <t>Institution</t>
        </is>
      </c>
      <c r="B3" s="1" t="inlineStr">
        <is>
          <t>Country</t>
        </is>
      </c>
      <c r="C3" s="1" t="inlineStr">
        <is>
          <t>Regulator + key regulation</t>
        </is>
      </c>
      <c r="D3" s="1" t="inlineStr">
        <is>
          <t>Permitted PE / alts ceiling (%)</t>
        </is>
      </c>
      <c r="E3" s="1" t="inlineStr">
        <is>
          <t>Actual alts allocation (%, most recent)</t>
        </is>
      </c>
      <c r="F3" s="1" t="inlineStr">
        <is>
          <t>Headroom unused (% points)</t>
        </is>
      </c>
      <c r="G3" s="1" t="inlineStr">
        <is>
          <t>Story</t>
        </is>
      </c>
      <c r="H3" s="1" t="inlineStr">
        <is>
          <t>Source</t>
        </is>
      </c>
    </row>
    <row r="4" ht="23.25" customHeight="1" s="16">
      <c r="A4" s="2" t="inlineStr">
        <is>
          <t>GEPF (managed by PIC)</t>
        </is>
      </c>
      <c r="B4" s="2" t="inlineStr">
        <is>
          <t>South Africa</t>
        </is>
      </c>
      <c r="C4" s="2" t="inlineStr">
        <is>
          <t>FSCA – Regulation 28 (effective Jan 2023)</t>
        </is>
      </c>
      <c r="D4" s="2" t="inlineStr">
        <is>
          <t>15% private equity + 10% hedge funds (separate); 25% property</t>
        </is>
      </c>
      <c r="E4" s="2" t="inlineStr">
        <is>
          <t>~20% across alternatives (PIC discloses ~20% alts overall)</t>
        </is>
      </c>
      <c r="F4" s="2" t="inlineStr">
        <is>
          <t>PE-equivalent ~5pp; SA equity 75% cap</t>
        </is>
      </c>
      <c r="G4" s="2" t="inlineStr">
        <is>
          <t>Headroom for further PE allocation exists post-2023 amendment; PIC has begun major shift toward private markets.</t>
        </is>
      </c>
      <c r="H4" s="2" t="inlineStr">
        <is>
          <t>Treasury Regulation 28 amendment 2022; PIC Corporate Plan 2025/26</t>
        </is>
      </c>
    </row>
    <row r="5" ht="23.25" customHeight="1" s="16">
      <c r="A5" s="2" t="inlineStr">
        <is>
          <t>Other SA Reg-28 pension funds (EPPF, Transnet, Sentinel, umbrellas)</t>
        </is>
      </c>
      <c r="B5" s="2" t="inlineStr">
        <is>
          <t>South Africa</t>
        </is>
      </c>
      <c r="C5" s="2" t="inlineStr">
        <is>
          <t>FSCA – Regulation 28</t>
        </is>
      </c>
      <c r="D5" s="2" t="inlineStr">
        <is>
          <t>15% PE + 10% HF + 25% property</t>
        </is>
      </c>
      <c r="E5" s="2" t="inlineStr">
        <is>
          <t>EPPF ~10% alts (~4% PE); industry average lower</t>
        </is>
      </c>
      <c r="F5" s="2" t="inlineStr">
        <is>
          <t>PE ~11pp</t>
        </is>
      </c>
      <c r="G5" s="2" t="inlineStr">
        <is>
          <t>Industry-wide alts under-allocation relative to 2023 cap; SA pension industry consensus is alts allocation will rise.</t>
        </is>
      </c>
      <c r="H5" s="2" t="inlineStr">
        <is>
          <t>EPPF 2024 disclosures; SAVCA Pension Fund Study 2022; Glacier Insights</t>
        </is>
      </c>
    </row>
    <row r="6" ht="34.5" customHeight="1" s="16">
      <c r="A6" s="2" t="inlineStr">
        <is>
          <t>Nigerian PFAs (CPS, all 19)</t>
        </is>
      </c>
      <c r="B6" s="2" t="inlineStr">
        <is>
          <t>Nigeria</t>
        </is>
      </c>
      <c r="C6" s="2" t="inlineStr">
        <is>
          <t>PenCom – Revised Investment Regulation Sept 2025 + addendum Feb 2026</t>
        </is>
      </c>
      <c r="D6" s="2" t="inlineStr">
        <is>
          <t>PE: 10% (some funds) / 15% (others); infra funds also raised</t>
        </is>
      </c>
      <c r="E6" s="2" t="inlineStr">
        <is>
          <t>Aggregate ~5% in alts across the industry</t>
        </is>
      </c>
      <c r="F6" s="2" t="inlineStr">
        <is>
          <t>PE ~5–10pp</t>
        </is>
      </c>
      <c r="G6" s="2" t="inlineStr">
        <is>
          <t>Sept 2025 doubled PE cap; ARM-Harith ACT Fund (2025) designed with local-currency tranche to bypass FX barrier to further deployment.</t>
        </is>
      </c>
      <c r="H6" s="2" t="inlineStr">
        <is>
          <t>PenCom Revised Regulation 2025; PenCom Q1 2025 Report; Nairametrics 2026 addendum coverage</t>
        </is>
      </c>
    </row>
    <row r="7" ht="34.5" customHeight="1" s="16">
      <c r="A7" s="2" t="inlineStr">
        <is>
          <t>NSSF Uganda</t>
        </is>
      </c>
      <c r="B7" s="2" t="inlineStr">
        <is>
          <t>Uganda</t>
        </is>
      </c>
      <c r="C7" s="2" t="inlineStr">
        <is>
          <t>URBRA Investment Guidelines</t>
        </is>
      </c>
      <c r="D7" s="2" t="inlineStr">
        <is>
          <t>15% PE in EAC; 30% property; 5% other alts</t>
        </is>
      </c>
      <c r="E7" s="2" t="inlineStr">
        <is>
          <t>Long-term targets: 80% fixed income; 13.3% equities; 6.2% real estate. PE allocation small (Yield Uganda Investment Fund)</t>
        </is>
      </c>
      <c r="F7" s="2" t="inlineStr">
        <is>
          <t>PE ~13–14pp</t>
        </is>
      </c>
      <c r="G7" s="2" t="inlineStr">
        <is>
          <t>Stated long-term portfolio target sets only 6.2% real estate; URBRA allows up to 15% PE so significant unused headroom. Yield Uganda is the flagship PE programme but tiny relative to AUM.</t>
        </is>
      </c>
      <c r="H7" s="2" t="inlineStr">
        <is>
          <t>URBRA Investment Guidelines; NSSF Uganda 2024 Annual Integrated Report</t>
        </is>
      </c>
    </row>
    <row r="8" ht="23.25" customHeight="1" s="16">
      <c r="A8" s="2" t="inlineStr">
        <is>
          <t>NSSF Kenya</t>
        </is>
      </c>
      <c r="B8" s="2" t="inlineStr">
        <is>
          <t>Kenya</t>
        </is>
      </c>
      <c r="C8" s="2" t="inlineStr">
        <is>
          <t>RBA – Retirement Benefits Regulations 2000 (as amended)</t>
        </is>
      </c>
      <c r="D8" s="2" t="inlineStr">
        <is>
          <t>10% PE/VC; 70% total alts headroom across categories</t>
        </is>
      </c>
      <c r="E8" s="2" t="inlineStr">
        <is>
          <t>1.6% PE/unlisted (June 2024, up from 0.3% in 2023); 17.5% total alts incl. property</t>
        </is>
      </c>
      <c r="F8" s="2" t="inlineStr">
        <is>
          <t>PE ~8.4pp</t>
        </is>
      </c>
      <c r="G8" s="2" t="inlineStr">
        <is>
          <t>Significant under-allocation but 597.8% YoY growth in PE bucket and explicit MD statement that PE is a 'top priority' for the next phase.</t>
        </is>
      </c>
      <c r="H8" s="2" t="inlineStr">
        <is>
          <t>Cytonn Retirement Schemes 2024; RBA Investment Guidelines; NSSF MD statements</t>
        </is>
      </c>
    </row>
    <row r="9" ht="23.25" customHeight="1" s="16">
      <c r="A9" s="2" t="inlineStr">
        <is>
          <t>Other Kenyan schemes (occupational, umbrella)</t>
        </is>
      </c>
      <c r="B9" s="2" t="inlineStr">
        <is>
          <t>Kenya</t>
        </is>
      </c>
      <c r="C9" s="2" t="inlineStr">
        <is>
          <t>RBA</t>
        </is>
      </c>
      <c r="D9" s="2" t="inlineStr">
        <is>
          <t>10% PE/VC</t>
        </is>
      </c>
      <c r="E9" s="2" t="inlineStr">
        <is>
          <t>Mostly &lt;1% PE; aggregate Kenyan industry ~0.5–1% PE</t>
        </is>
      </c>
      <c r="F9" s="2" t="inlineStr">
        <is>
          <t>PE ~9pp</t>
        </is>
      </c>
      <c r="G9" s="2" t="inlineStr">
        <is>
          <t>Industry-wide under-utilisation of PE cap; few schemes have made commitments.</t>
        </is>
      </c>
      <c r="H9" s="2" t="inlineStr">
        <is>
          <t>RBA Industry Reports; Cytonn</t>
        </is>
      </c>
    </row>
    <row r="10" ht="45.75" customHeight="1" s="16">
      <c r="A10" s="2" t="inlineStr">
        <is>
          <t>SSNIT Ghana</t>
        </is>
      </c>
      <c r="B10" s="2" t="inlineStr">
        <is>
          <t>Ghana</t>
        </is>
      </c>
      <c r="C10" s="2" t="inlineStr">
        <is>
          <t>NPRA – Guidelines on Investment of Pension Scheme Funds</t>
        </is>
      </c>
      <c r="D10" s="2" t="inlineStr">
        <is>
          <t>10% per AI sub-asset class; 5% to open/closed-end funds</t>
        </is>
      </c>
      <c r="E10" s="2" t="inlineStr">
        <is>
          <t>34% in 'alternatives' (real estate + PE + direct) as of 2023; rebalancing toward fixed income in 2024</t>
        </is>
      </c>
      <c r="F10" s="2" t="inlineStr">
        <is>
          <t>Currently over the per-sub-class cap due to legacy concentration; reducing</t>
        </is>
      </c>
      <c r="G10" s="2" t="inlineStr">
        <is>
          <t>Counterexample case: Ghanaian SSNIT exceeded prudential targets through legacy property/direct holdings and is now reducing alts toward target, opposite direction to most peers.</t>
        </is>
      </c>
      <c r="H10" s="2" t="inlineStr">
        <is>
          <t>SSNIT 2022 Annual Report; B&amp;FT 2024 reporting on SSNIT strategy shift</t>
        </is>
      </c>
    </row>
    <row r="11" ht="15" customHeight="1" s="16">
      <c r="A11" s="2" t="inlineStr">
        <is>
          <t>Ghana Tier 2/3 schemes (corporate trustees)</t>
        </is>
      </c>
      <c r="B11" s="2" t="inlineStr">
        <is>
          <t>Ghana</t>
        </is>
      </c>
      <c r="C11" s="2" t="inlineStr">
        <is>
          <t>NPRA</t>
        </is>
      </c>
      <c r="D11" s="2" t="inlineStr">
        <is>
          <t>10% per AI sub-asset class</t>
        </is>
      </c>
      <c r="E11" s="2" t="inlineStr">
        <is>
          <t>Aggregate ~5–8% in alts</t>
        </is>
      </c>
      <c r="F11" s="2" t="inlineStr">
        <is>
          <t>~2–5pp</t>
        </is>
      </c>
      <c r="G11" s="2" t="inlineStr">
        <is>
          <t>Slowly increasing alts allocation; constrained by domestic alts pipeline.</t>
        </is>
      </c>
      <c r="H11" s="2" t="inlineStr">
        <is>
          <t>NPRA Investment Guidelines; news reports</t>
        </is>
      </c>
    </row>
    <row r="12" ht="34.5" customHeight="1" s="16">
      <c r="A12" s="2" t="inlineStr">
        <is>
          <t>BPOPF Botswana</t>
        </is>
      </c>
      <c r="B12" s="2" t="inlineStr">
        <is>
          <t>Botswana</t>
        </is>
      </c>
      <c r="C12" s="2" t="inlineStr">
        <is>
          <t>NBFIRA – PFR2 (Pension Fund Investment Rules)</t>
        </is>
      </c>
      <c r="D12" s="2" t="inlineStr">
        <is>
          <t>15% VC/PE (10% main + 5% offshore/local split); 50% min. domestic by Dec 2027</t>
        </is>
      </c>
      <c r="E12" s="2" t="inlineStr">
        <is>
          <t>~10% alts target / ~7–8% actual deployment</t>
        </is>
      </c>
      <c r="F12" s="2" t="inlineStr">
        <is>
          <t>PE ~5–7pp</t>
        </is>
      </c>
      <c r="G12" s="2" t="inlineStr">
        <is>
          <t>Active alts programme via incubation funds (Aleyo, Africa Lighthouse) plus mandates with Vantage and others; on track to fully use cap.</t>
        </is>
      </c>
      <c r="H12" s="2" t="inlineStr">
        <is>
          <t>NBFIRA PFR2 2023; SAVCA-FSDA 2022 study; BPOPF 2024 disclosures</t>
        </is>
      </c>
    </row>
    <row r="13" ht="23.25" customHeight="1" s="16">
      <c r="A13" s="2" t="inlineStr">
        <is>
          <t>Other Botswana pension funds</t>
        </is>
      </c>
      <c r="B13" s="2" t="inlineStr">
        <is>
          <t>Botswana</t>
        </is>
      </c>
      <c r="C13" s="2" t="inlineStr">
        <is>
          <t>NBFIRA – PFR2</t>
        </is>
      </c>
      <c r="D13" s="2" t="inlineStr">
        <is>
          <t>15% VC/PE</t>
        </is>
      </c>
      <c r="E13" s="2" t="inlineStr">
        <is>
          <t>Aggregate ~5–8%</t>
        </is>
      </c>
      <c r="F13" s="2" t="inlineStr">
        <is>
          <t>PE ~7–10pp</t>
        </is>
      </c>
      <c r="G13" s="2" t="inlineStr">
        <is>
          <t>Industry mostly below cap; BPOPF leads sectoral practice.</t>
        </is>
      </c>
      <c r="H13" s="2" t="inlineStr">
        <is>
          <t>World Bank Botswana Financial Markets Diagnostic 2025</t>
        </is>
      </c>
    </row>
    <row r="14" ht="57" customHeight="1" s="16">
      <c r="A14" s="2" t="inlineStr">
        <is>
          <t>GIPF Namibia</t>
        </is>
      </c>
      <c r="B14" s="2" t="inlineStr">
        <is>
          <t>Namibia</t>
        </is>
      </c>
      <c r="C14" s="2" t="inlineStr">
        <is>
          <t>NAMFISA – Pension Funds Act Regulation 28/29</t>
        </is>
      </c>
      <c r="D14" s="2" t="inlineStr">
        <is>
          <t>Regulation 28 requires 35% min. in Namibian assets, max 3.5% via unlisted SPV vehicles. GIPF target: 10% PE + 5% RE (per its Unlisted Investment Policy).</t>
        </is>
      </c>
      <c r="E14" s="2" t="inlineStr">
        <is>
          <t>~15% in alts (N$24.9bn committed of ~N$165bn AUM); 41 named managers</t>
        </is>
      </c>
      <c r="F14" s="2" t="inlineStr">
        <is>
          <t>At or near target; possibly above Reg 28 SPV cap depending on interpretation</t>
        </is>
      </c>
      <c r="G14" s="2" t="inlineStr">
        <is>
          <t>Namibia uniquely *mandates* unlisted exposure; GIPF is the most alts-deployed African pension fund. Regulatory interpretation of the 3.5% SPV cap vs direct unlisted is worth verifying for academic accuracy.</t>
        </is>
      </c>
      <c r="H14" s="2" t="inlineStr">
        <is>
          <t>GIPF Unlisted Investments disclosure; NAMFISA Reg 28/29; Old Mutual Namibia 2023 commentary</t>
        </is>
      </c>
    </row>
    <row r="15" ht="23.25" customHeight="1" s="16">
      <c r="A15" s="2" t="inlineStr">
        <is>
          <t>Other Namibian pension funds (incl. umbrella)</t>
        </is>
      </c>
      <c r="B15" s="2" t="inlineStr">
        <is>
          <t>Namibia</t>
        </is>
      </c>
      <c r="C15" s="2" t="inlineStr">
        <is>
          <t>NAMFISA – Reg 28/29</t>
        </is>
      </c>
      <c r="D15" s="2" t="inlineStr">
        <is>
          <t>Mandated minimum domestic unlisted; max 3.5% via SPV</t>
        </is>
      </c>
      <c r="E15" s="2" t="inlineStr">
        <is>
          <t>Most schemes meet minimum; not all reach GIPF levels</t>
        </is>
      </c>
      <c r="F15" s="2" t="inlineStr">
        <is>
          <t>Marginal</t>
        </is>
      </c>
      <c r="G15" s="2" t="inlineStr">
        <is>
          <t>Mandatory unlisted regime gives Namibia structurally higher local-alts allocation than any other African market.</t>
        </is>
      </c>
      <c r="H15" s="2" t="inlineStr">
        <is>
          <t>NAMFISA Regulation 28 and 29 materials</t>
        </is>
      </c>
    </row>
    <row r="16" ht="34.5" customHeight="1" s="16">
      <c r="A16" s="2" t="inlineStr">
        <is>
          <t>CDG Morocco / CMR / RCAR / CNSS Morocco</t>
        </is>
      </c>
      <c r="B16" s="2" t="inlineStr">
        <is>
          <t>Morocco</t>
        </is>
      </c>
      <c r="C16" s="2" t="inlineStr">
        <is>
          <t>ACAPS supervision; sectoral investment rules per regime</t>
        </is>
      </c>
      <c r="D16" s="2" t="inlineStr">
        <is>
          <t>Caps vary by regime; not a single percentage. Insurance-style rules apply to complementary regimes.</t>
        </is>
      </c>
      <c r="E16" s="2" t="inlineStr">
        <is>
          <t>CDG: significant alts via subsidiaries (CDG Invest, CDG Capital, InfraMaroc, CapMezzanine III)</t>
        </is>
      </c>
      <c r="F16" s="2" t="inlineStr">
        <is>
          <t>Variable</t>
        </is>
      </c>
      <c r="G16" s="2" t="inlineStr">
        <is>
          <t>Moroccan pension reform has progressively widened permissible asset universe; CDG is by far the most alts-active Moroccan allocator and increasingly anchors Moroccan and pan-African PE funds.</t>
        </is>
      </c>
      <c r="H16" s="2" t="inlineStr">
        <is>
          <t>ACAPS materials; CDG Group annual reports; AMMC fund register</t>
        </is>
      </c>
    </row>
    <row r="17" ht="34.5" customHeight="1" s="16">
      <c r="A17" s="2" t="inlineStr">
        <is>
          <t>NOSI / NSSA Egypt</t>
        </is>
      </c>
      <c r="B17" s="2" t="inlineStr">
        <is>
          <t>Egypt</t>
        </is>
      </c>
      <c r="C17" s="2" t="inlineStr">
        <is>
          <t>FRA + Social Insurance Law; 2019 reform</t>
        </is>
      </c>
      <c r="D17" s="2" t="inlineStr">
        <is>
          <t>Historical cap of 1% on capital-market investment; surplus mandatorily transferred to NIB</t>
        </is>
      </c>
      <c r="E17" s="2" t="inlineStr">
        <is>
          <t>&lt;1% in any alts category historically</t>
        </is>
      </c>
      <c r="F17" s="2" t="inlineStr">
        <is>
          <t>Effectively zero — extreme regulatory constraint</t>
        </is>
      </c>
      <c r="G17" s="2" t="inlineStr">
        <is>
          <t>Most-constrained large African pension pool. 2019 unified law theoretically permits broader investment but actual reallocation has been gradual.</t>
        </is>
      </c>
      <c r="H17" s="2" t="inlineStr">
        <is>
          <t>Loewe (2024) Social Security in Egypt; IBM NOSI case study</t>
        </is>
      </c>
    </row>
    <row r="18" ht="45.75" customHeight="1" s="16">
      <c r="A18" s="2" t="inlineStr">
        <is>
          <t>NSIA Nigeria (SWF)</t>
        </is>
      </c>
      <c r="B18" s="2" t="inlineStr">
        <is>
          <t>Nigeria</t>
        </is>
      </c>
      <c r="C18" s="2" t="inlineStr">
        <is>
          <t>NSIA Act 2011 + Board policy</t>
        </is>
      </c>
      <c r="D18" s="2" t="inlineStr">
        <is>
          <t>Three sub-funds with distinct mandates; Stabilisation must be in highly-liquid; NIF can deploy directly to alts.</t>
        </is>
      </c>
      <c r="E18" s="2" t="inlineStr">
        <is>
          <t>Active alts via NIF: PPP equity, agribusiness, healthcare direct deals + selected PE LP positions</t>
        </is>
      </c>
      <c r="F18" s="2" t="inlineStr">
        <is>
          <t>n/a — uses NIF mandate fully</t>
        </is>
      </c>
      <c r="G18" s="2" t="inlineStr">
        <is>
          <t>Statutorily structured to permit aggressive direct deployment via NIF.</t>
        </is>
      </c>
      <c r="H18" s="2" t="inlineStr">
        <is>
          <t>NSIA Act 2011; NSIA annual reports</t>
        </is>
      </c>
    </row>
    <row r="19" ht="34.5" customHeight="1" s="16">
      <c r="A19" s="2" t="inlineStr">
        <is>
          <t>TSFE Egypt (SWF)</t>
        </is>
      </c>
      <c r="B19" s="2" t="inlineStr">
        <is>
          <t>Egypt</t>
        </is>
      </c>
      <c r="C19" s="2" t="inlineStr">
        <is>
          <t>TSFE Law (2018, amended)</t>
        </is>
      </c>
      <c r="D19" s="2" t="inlineStr">
        <is>
          <t>Statutorily permitted to invest in domestic assets including direct equity and platform JVs</t>
        </is>
      </c>
      <c r="E19" s="2" t="inlineStr">
        <is>
          <t>Active: 4 sub-funds; healthcare, financial services, real estate/tourism, infra/utilities platforms with Gulf SWF co-invest</t>
        </is>
      </c>
      <c r="F19" s="2" t="inlineStr">
        <is>
          <t>n/a</t>
        </is>
      </c>
      <c r="G19" s="2" t="inlineStr">
        <is>
          <t>Operates under separate SWF law not subject to NOSI restrictions; functions as Egypt's on-ground alts vehicle.</t>
        </is>
      </c>
      <c r="H19" s="2" t="inlineStr">
        <is>
          <t>TSFE Law 177/2018; TSFE Annual Reports</t>
        </is>
      </c>
    </row>
    <row r="20" ht="23.25" customHeight="1" s="16">
      <c r="A20" s="2" t="inlineStr">
        <is>
          <t>FSDEA Angola (SWF)</t>
        </is>
      </c>
      <c r="B20" s="2" t="inlineStr">
        <is>
          <t>Angola</t>
        </is>
      </c>
      <c r="C20" s="2" t="inlineStr">
        <is>
          <t>FSDEA establishing law; Santiago Principles framework</t>
        </is>
      </c>
      <c r="D20" s="2" t="inlineStr">
        <is>
          <t>Permitted across global and African alts within investment policy</t>
        </is>
      </c>
      <c r="E20" s="2" t="inlineStr">
        <is>
          <t>Diversified portfolio incl. PE funds; Gemcorp infra fund anchor; Lobito Corridor</t>
        </is>
      </c>
      <c r="F20" s="2" t="inlineStr">
        <is>
          <t>n/a</t>
        </is>
      </c>
      <c r="G20" s="2" t="inlineStr">
        <is>
          <t>Post-2018 reset toward more conventional investment policy; IFSWF-assessed under Santiago Principles.</t>
        </is>
      </c>
      <c r="H20" s="2" t="inlineStr">
        <is>
          <t>FSDEA Annual Reports; IFSWF 2022 assessment</t>
        </is>
      </c>
    </row>
    <row r="21" ht="34.5" customHeight="1" s="16">
      <c r="A21" s="2" t="inlineStr">
        <is>
          <t>FONSIS Senegal (SWF)</t>
        </is>
      </c>
      <c r="B21" s="2" t="inlineStr">
        <is>
          <t>Senegal</t>
        </is>
      </c>
      <c r="C21" s="2" t="inlineStr">
        <is>
          <t>FONSIS Law 2012; OHADA company law</t>
        </is>
      </c>
      <c r="D21" s="2" t="inlineStr">
        <is>
          <t>Permitted to invest in strategic projects including PE fund LP positions</t>
        </is>
      </c>
      <c r="E21" s="2" t="inlineStr">
        <is>
          <t>Active: Oyass Capital LP (€82m fund); direct strategic equity portfolio</t>
        </is>
      </c>
      <c r="F21" s="2" t="inlineStr">
        <is>
          <t>n/a</t>
        </is>
      </c>
      <c r="G21" s="2" t="inlineStr">
        <is>
          <t>Sectoral strategic mandate; co-invests with DFIs and pan-African PE.</t>
        </is>
      </c>
      <c r="H21" s="2" t="inlineStr">
        <is>
          <t>FONSIS Law 2012; FONSIS press releases 2024</t>
        </is>
      </c>
    </row>
    <row r="22" ht="68.25" customHeight="1" s="16">
      <c r="A22" s="2" t="inlineStr">
        <is>
          <t>Ghana Tier 2/3 schemes — UPDATED (post-2026 5% rule)</t>
        </is>
      </c>
      <c r="B22" s="2" t="inlineStr">
        <is>
          <t>Ghana</t>
        </is>
      </c>
      <c r="C22" s="2" t="inlineStr">
        <is>
          <t>NPRA – Investment Guidelines (with 2026 'minimum 5% in alternative assets' policy)</t>
        </is>
      </c>
      <c r="D22" s="2" t="inlineStr">
        <is>
          <t>Minimum 5% in alts (newly mandated)</t>
        </is>
      </c>
      <c r="E22" s="2" t="inlineStr">
        <is>
          <t>Trustees beginning to deploy: Axis → GIP (USD 5m, Apr 2026); Axis + Enterprise → Ci Gaba FoF first close (Mar 2026, ~USD 35m total; Ghanaian pensions &gt;2/3)</t>
        </is>
      </c>
      <c r="F22" s="2" t="inlineStr">
        <is>
          <t>Building toward 5% minimum</t>
        </is>
      </c>
      <c r="G22" s="2" t="inlineStr">
        <is>
          <t>Ghana has moved from permissive-only to MANDATED-MINIMUM alts allocation. Early commitments via Ci Gaba FoF (West Africa's first domestic-domiciled FoF) and GIP (BII platform with local-currency tranche) demonstrate that the policy is producing real flows. This is the most policy-design-relevant African case after Namibia's mandated-unlisted regime.</t>
        </is>
      </c>
      <c r="H22" s="2" t="inlineStr">
        <is>
          <t>BII GIP announcement April 2026; WeeTracker Ci Gaba coverage March 2026; Ecofin Agency</t>
        </is>
      </c>
    </row>
  </sheetData>
  <autoFilter ref="A3:H22"/>
  <mergeCells count="1">
    <mergeCell ref="A1:H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33"/>
  <sheetViews>
    <sheetView topLeftCell="A14" zoomScaleNormal="100" workbookViewId="0">
      <selection activeCell="A1" sqref="A1:F1"/>
    </sheetView>
  </sheetViews>
  <sheetFormatPr baseColWidth="8" defaultColWidth="8.7109375" defaultRowHeight="15"/>
  <cols>
    <col width="55" customWidth="1" style="16" min="1" max="1"/>
    <col width="32" customWidth="1" style="16" min="2" max="2"/>
    <col width="18" customWidth="1" style="16" min="3" max="3"/>
    <col width="14" customWidth="1" style="16" min="4" max="4"/>
    <col width="28" customWidth="1" style="16" min="5" max="5"/>
    <col width="18" customWidth="1" style="16" min="6" max="6"/>
  </cols>
  <sheetData>
    <row r="1" ht="21.75" customHeight="1" s="16">
      <c r="A1" s="19" t="inlineStr">
        <is>
          <t>AVCA aggregate African-LP capital flow into African private capital vs. allocator-fund pairs disclosed in this database.</t>
        </is>
      </c>
    </row>
    <row r="3" ht="15" customHeight="1" s="16">
      <c r="A3" s="8" t="inlineStr">
        <is>
          <t>Aggregate African-investor commitments to African private capital (per AVCA APCA Reports)</t>
        </is>
      </c>
    </row>
    <row r="5" ht="23.25" customHeight="1" s="16">
      <c r="A5" s="1" t="inlineStr">
        <is>
          <t>Year</t>
        </is>
      </c>
      <c r="B5" s="1" t="inlineStr">
        <is>
          <t>Total African PE/VC/Infra fundraising (USD m)</t>
        </is>
      </c>
      <c r="C5" s="1" t="inlineStr">
        <is>
          <t>DFI contribution (USD m)</t>
        </is>
      </c>
      <c r="D5" s="1" t="inlineStr">
        <is>
          <t>DFI share (%)</t>
        </is>
      </c>
      <c r="E5" s="1" t="inlineStr">
        <is>
          <t>African investor contribution (USD m)</t>
        </is>
      </c>
      <c r="F5" s="1" t="inlineStr">
        <is>
          <t>African investor share (%)</t>
        </is>
      </c>
    </row>
    <row r="6" ht="15" customHeight="1" s="16">
      <c r="A6" s="2" t="inlineStr">
        <is>
          <t>2022</t>
        </is>
      </c>
      <c r="B6" s="9" t="n">
        <v>1200</v>
      </c>
      <c r="C6" s="9" t="n">
        <v>708</v>
      </c>
      <c r="D6" s="10" t="n">
        <v>0.59</v>
      </c>
      <c r="E6" s="9" t="n">
        <v>171</v>
      </c>
      <c r="F6" s="10" t="n">
        <v>0.14</v>
      </c>
    </row>
    <row r="7" ht="15" customHeight="1" s="16">
      <c r="A7" s="2" t="inlineStr">
        <is>
          <t>2023</t>
        </is>
      </c>
      <c r="B7" s="2" t="inlineStr">
        <is>
          <t>Not separately disclosed</t>
        </is>
      </c>
      <c r="C7" s="2" t="inlineStr">
        <is>
          <t>—</t>
        </is>
      </c>
      <c r="D7" s="2" t="inlineStr">
        <is>
          <t>—</t>
        </is>
      </c>
      <c r="E7" s="2" t="inlineStr">
        <is>
          <t>—</t>
        </is>
      </c>
      <c r="F7" s="2" t="inlineStr">
        <is>
          <t>—</t>
        </is>
      </c>
    </row>
    <row r="8" ht="15" customHeight="1" s="16">
      <c r="A8" s="2" t="inlineStr">
        <is>
          <t>2024</t>
        </is>
      </c>
      <c r="B8" s="9" t="n">
        <v>4000</v>
      </c>
      <c r="C8" s="9" t="n">
        <v>1400</v>
      </c>
      <c r="D8" s="10" t="n">
        <v>0.42</v>
      </c>
      <c r="E8" s="9" t="n">
        <v>639</v>
      </c>
      <c r="F8" s="10" t="n">
        <v>0.19</v>
      </c>
    </row>
    <row r="11" ht="15" customHeight="1" s="16">
      <c r="A11" s="8" t="inlineStr">
        <is>
          <t>The disclosure gap, quantified</t>
        </is>
      </c>
    </row>
    <row r="12" ht="15" customHeight="1" s="16">
      <c r="A12" s="1" t="inlineStr">
        <is>
          <t>Metric</t>
        </is>
      </c>
      <c r="B12" s="1" t="inlineStr">
        <is>
          <t>2024 figure</t>
        </is>
      </c>
      <c r="C12" s="1" t="inlineStr">
        <is>
          <t>Notes</t>
        </is>
      </c>
    </row>
    <row r="13" ht="34.5" customHeight="1" s="16">
      <c r="A13" s="2" t="inlineStr">
        <is>
          <t>AVCA aggregate African-investor capital into African PE/VC/Infra (2024 only)</t>
        </is>
      </c>
      <c r="B13" s="2" t="inlineStr">
        <is>
          <t>USD 639m</t>
        </is>
      </c>
      <c r="C13" s="2" t="inlineStr">
        <is>
          <t>African pension funds + insurers + corporates combined</t>
        </is>
      </c>
    </row>
    <row r="14" ht="68.25" customHeight="1" s="16">
      <c r="A14" s="2" t="inlineStr">
        <is>
          <t>Of which: catalogued in this database as 2024-vintage allocator-fund pairs (REVISED Phase 4-6)</t>
        </is>
      </c>
      <c r="B14" s="2" t="inlineStr">
        <is>
          <t>~USD 200m (range USD 150–280m)</t>
        </is>
      </c>
      <c r="C14" s="2" t="inlineStr">
        <is>
          <t>Substantially revised upward from Phase 3 estimate (USD 100–150m) following Phases 4-6 DFI-platform-anchored search. See breakdown below.</t>
        </is>
      </c>
    </row>
    <row r="15" ht="79.5" customHeight="1" s="16">
      <c r="A15" s="2" t="inlineStr">
        <is>
          <t>Implied 'untraceable' share of 2024 African-LP capital (REVISED)</t>
        </is>
      </c>
      <c r="B15" s="2" t="inlineStr">
        <is>
          <t>~55–70% (was ~75–85% in Phase 3 estimate)</t>
        </is>
      </c>
      <c r="C15" s="2" t="inlineStr">
        <is>
          <t>Phase 4-6 closed a meaningful share of the gap by identifying the Africa50-IAF and Adenia V LP rosters. The residual gap is structural — pan-African flagship PE funds (ADP IV, Catalyst II, Vantage IV, Helios CLEAR) still report African pension LPs only categorically.</t>
        </is>
      </c>
    </row>
    <row r="16" ht="45.75" customHeight="1" s="16">
      <c r="A16" s="2" t="inlineStr">
        <is>
          <t>Cumulative AVCA-tracked African-LP growth 2022 → 2024</t>
        </is>
      </c>
      <c r="B16" s="2" t="inlineStr">
        <is>
          <t>3.7x (USD 171m → USD 639m)</t>
        </is>
      </c>
      <c r="C16" s="2" t="inlineStr">
        <is>
          <t>Local capital share of total African PE/VC fundraising rose from 14% to 19%</t>
        </is>
      </c>
    </row>
    <row r="17" ht="15" customHeight="1" s="16">
      <c r="A17" s="17" t="n"/>
      <c r="B17" s="17" t="n"/>
      <c r="C17" s="17" t="n"/>
    </row>
    <row r="18" ht="23.25" customHeight="1" s="16">
      <c r="A18" s="11" t="inlineStr">
        <is>
          <t>Breakdown of 2024-vintage traceable commitments (PE/VC/Infra fund LP only)</t>
        </is>
      </c>
      <c r="B18" s="11" t="n"/>
      <c r="C18" s="11" t="n"/>
    </row>
    <row r="19" ht="15" customHeight="1" s="16">
      <c r="A19" s="2" t="inlineStr">
        <is>
          <t>Africa50 Infrastructure Acceleration Fund (IAF) — 2024 first close</t>
        </is>
      </c>
      <c r="B19" s="2" t="inlineStr">
        <is>
          <t>USD 222.5m total; ~USD 80–150m African PF/SWF share</t>
        </is>
      </c>
      <c r="C19" s="2" t="inlineStr">
        <is>
          <t>Named African LPs: NSIA Nigeria, CDC Sénégal, CDC Benin, CNSS Togo, CDG Invest Morocco. Press release said 'primarily from African institutional investors'.</t>
        </is>
      </c>
    </row>
    <row r="20" ht="120" customHeight="1" s="16">
      <c r="A20" s="12" t="inlineStr">
        <is>
          <t>Adenia Capital V — April 2024 hard cap close ($470m)</t>
        </is>
      </c>
      <c r="B20" s="2" t="inlineStr">
        <is>
          <t>~USD 30-80m African PF share</t>
        </is>
      </c>
      <c r="C20" s="2" t="inlineStr">
        <is>
          <t>Named LP: PIC SA (size not disclosed). Categorical 'Kenyan pension funds' and 'Ghanaian pension funds' cohorts (individual schemes not named).</t>
        </is>
      </c>
    </row>
    <row r="21" ht="34.5" customHeight="1" s="16">
      <c r="A21" s="2" t="inlineStr">
        <is>
          <t>FONSIS → Oyass Capital — January 2024</t>
        </is>
      </c>
      <c r="B21" s="2" t="inlineStr">
        <is>
          <t>~USD 20–40m FONSIS share (of XOF 50bn / ~USD 82m fund)</t>
        </is>
      </c>
      <c r="C21" s="2" t="inlineStr">
        <is>
          <t>FONSIS co-anchor alongside KfW; SEAF as manager.</t>
        </is>
      </c>
    </row>
    <row r="22" ht="68.25" customHeight="1" s="16">
      <c r="A22" s="2" t="inlineStr">
        <is>
          <t>Smaller 2024-vintage continental equity additions</t>
        </is>
      </c>
      <c r="B22" s="2" t="inlineStr">
        <is>
          <t>~USD 10–30m</t>
        </is>
      </c>
      <c r="C22" s="2" t="inlineStr">
        <is>
          <t>Government of Egypt AFC equity (2024); incremental AFC equity allocations from existing shareholders.</t>
        </is>
      </c>
    </row>
    <row r="23" ht="45.75" customHeight="1" s="16">
      <c r="A23" s="2" t="inlineStr">
        <is>
          <t>Sahel Agribusiness Private Debt Fund — 2024 launched</t>
        </is>
      </c>
      <c r="B23" s="2" t="inlineStr">
        <is>
          <t>Eligibility open; specific PFA commitments not yet disclosed</t>
        </is>
      </c>
      <c r="C23" s="2" t="inlineStr">
        <is>
          <t>NGN 75bn / ~USD 55.4m target; Stanbic IBTC in partner consortium.</t>
        </is>
      </c>
    </row>
    <row r="24" ht="45.75" customHeight="1" s="16">
      <c r="A24" s="11" t="inlineStr">
        <is>
          <t>TOTAL traceable 2024-vintage African PF/SWF commitments</t>
        </is>
      </c>
      <c r="B24" s="11" t="inlineStr">
        <is>
          <t>~USD 130–280m (mid ~USD 200m)</t>
        </is>
      </c>
      <c r="C24" s="11" t="inlineStr">
        <is>
          <t>Of AVCA-aggregate USD 639m for 2024 African-investor PE/VC/Infra capital.</t>
        </is>
      </c>
    </row>
    <row r="25" ht="15" customHeight="1" s="16">
      <c r="A25" s="17" t="n"/>
      <c r="B25" s="17" t="n"/>
      <c r="C25" s="17" t="n"/>
    </row>
    <row r="26" ht="15" customHeight="1" s="16">
      <c r="A26" s="11" t="inlineStr">
        <is>
          <t>Cumulative across ALL vintages (not just 2024)</t>
        </is>
      </c>
      <c r="B26" s="11" t="n"/>
      <c r="C26" s="11" t="n"/>
    </row>
    <row r="27" ht="45.75" customHeight="1" s="16">
      <c r="A27" s="2" t="inlineStr">
        <is>
          <t>Total named allocator-fund pairs catalogued in this database</t>
        </is>
      </c>
      <c r="B27" s="2" t="inlineStr">
        <is>
          <t>86 commitments</t>
        </is>
      </c>
      <c r="C27" s="2" t="inlineStr">
        <is>
          <t>Across all vintages 2014-2026; ~30 unique African PF/SWF allocators.</t>
        </is>
      </c>
    </row>
    <row r="28" ht="68.25" customHeight="1" s="16">
      <c r="A28" s="2" t="inlineStr">
        <is>
          <t>vs. Phase 2 baseline (initial allocator-side search)</t>
        </is>
      </c>
      <c r="B28" s="2" t="inlineStr">
        <is>
          <t>27 commitments</t>
        </is>
      </c>
      <c r="C28" s="2" t="inlineStr">
        <is>
          <t>Phase 2 evidence harvest was anchored on allocator-side and marquee-GP-side search.</t>
        </is>
      </c>
    </row>
    <row r="29" ht="135.75" customHeight="1" s="16">
      <c r="A29" s="2" t="inlineStr">
        <is>
          <t>Improvement factor</t>
        </is>
      </c>
      <c r="B29" s="2" t="inlineStr">
        <is>
          <t>~3.2x</t>
        </is>
      </c>
      <c r="C29" s="2" t="inlineStr">
        <is>
          <t>DFI-platform-anchored search (Phases 4-6) tripled the named-LP coverage. The remaining gap is concentrated in pan-African flagship PE fund LP rosters where pension LPs appear only as categorical cohorts.</t>
        </is>
      </c>
    </row>
    <row r="32" ht="15" customHeight="1" s="16">
      <c r="A32" s="8" t="inlineStr">
        <is>
          <t>Interpretation</t>
        </is>
      </c>
    </row>
    <row r="33" ht="150" customHeight="1" s="16">
      <c r="A33" s="17" t="inlineStr">
        <is>
          <t>The AVCA aggregate confirms that African institutional capital flowing into local private capital has more than tripled in two years, and now constitutes 19% of all African private-capital fundraising. Following Phases 4-6 of this research (DFI-platform-anchored search), approximately 30-40% of the 2024 African-LP aggregate (USD 130-280m of USD 639m) is traceable to specific allocator-fund pairs in publicly available sources. This is materially better than the Phase 3 estimate of 15-25%, but the residual gap of 60-70% is structural. The remaining untraceable capital appears in two places: (a) pan-African flagship PE funds (Adenia V, ADP IV, Helios CLEAR, Phatisa FF3, Vantage IV) where African pension LPs are reported only as categorical cohorts; (b) commitments flowing through asset managers and umbrella vehicles where the ultimate asset owner is not separately disclosed. For academic publication this disclosure asymmetry is itself the principal methodological note — and the question of what disclosure regime would close it remains the principal policy contribution.</t>
        </is>
      </c>
    </row>
  </sheetData>
  <mergeCells count="1">
    <mergeCell ref="A1:F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2026-05-13T13:10:39Z</dcterms:created>
  <dcterms:modified xmlns:dcterms="http://purl.org/dc/terms/" xmlns:xsi="http://www.w3.org/2001/XMLSchema-instance" xsi:type="dcterms:W3CDTF">2026-05-19T16:55:59Z</dcterms:modified>
  <cp:lastModifiedBy>Matt Guttentag</cp:lastModifiedBy>
  <cp:revision>0</cp:revision>
</cp:coreProperties>
</file>